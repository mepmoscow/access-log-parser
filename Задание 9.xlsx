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ochernyaev\Documents\Обучение\"/>
    </mc:Choice>
  </mc:AlternateContent>
  <xr:revisionPtr revIDLastSave="0" documentId="13_ncr:1_{2ED7FAA9-3517-4AC7-99BF-856D0B6942CA}" xr6:coauthVersionLast="36" xr6:coauthVersionMax="36" xr10:uidLastSave="{00000000-0000-0000-0000-000000000000}"/>
  <bookViews>
    <workbookView xWindow="0" yWindow="0" windowWidth="23040" windowHeight="9060" xr2:uid="{AB511E11-B796-45ED-8F63-F7A558C2FD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35" i="1"/>
  <c r="D25" i="1"/>
  <c r="D26" i="1"/>
  <c r="C33" i="1" l="1"/>
  <c r="C30" i="1"/>
  <c r="C29" i="1"/>
  <c r="C28" i="1"/>
  <c r="C27" i="1"/>
  <c r="C26" i="1"/>
  <c r="C25" i="1"/>
  <c r="D12" i="1"/>
  <c r="D11" i="1"/>
  <c r="D9" i="1"/>
  <c r="D8" i="1"/>
  <c r="D4" i="1"/>
  <c r="D17" i="1" s="1"/>
  <c r="D5" i="1"/>
  <c r="D6" i="1"/>
  <c r="D3" i="1"/>
  <c r="D18" i="1" l="1"/>
  <c r="D19" i="1" s="1"/>
  <c r="D27" i="1"/>
  <c r="D28" i="1" s="1"/>
  <c r="D29" i="1" s="1"/>
  <c r="D30" i="1" s="1"/>
</calcChain>
</file>

<file path=xl/sharedStrings.xml><?xml version="1.0" encoding="utf-8"?>
<sst xmlns="http://schemas.openxmlformats.org/spreadsheetml/2006/main" count="33" uniqueCount="33">
  <si>
    <t>Категория расходов</t>
  </si>
  <si>
    <t>Статья</t>
  </si>
  <si>
    <t>Расходы в месяц (руб.)</t>
  </si>
  <si>
    <t>Общее за проект (руб.)</t>
  </si>
  <si>
    <t>ФОТ</t>
  </si>
  <si>
    <t>Менеджер проекта</t>
  </si>
  <si>
    <t>Разработчики (2)</t>
  </si>
  <si>
    <t>Тестировщик</t>
  </si>
  <si>
    <t>Системный администратор</t>
  </si>
  <si>
    <t>Инфраструктура</t>
  </si>
  <si>
    <t>Облачные сервисы</t>
  </si>
  <si>
    <t>Лицензии на ПО</t>
  </si>
  <si>
    <t>Административные расходы</t>
  </si>
  <si>
    <t>Аренда офиса</t>
  </si>
  <si>
    <t>Канцелярия</t>
  </si>
  <si>
    <t>Непредвиденные расходы</t>
  </si>
  <si>
    <t>Поломка оборудования</t>
  </si>
  <si>
    <t>Замена модуля</t>
  </si>
  <si>
    <t>Участие в форуме</t>
  </si>
  <si>
    <t>Итого:</t>
  </si>
  <si>
    <t>Резерв на непредвиденные расходы (10%)</t>
  </si>
  <si>
    <t>Общая сумма бюджета</t>
  </si>
  <si>
    <t>Месяц</t>
  </si>
  <si>
    <t>Плановые затраты (руб.)</t>
  </si>
  <si>
    <t>Фактические затраты (руб.)</t>
  </si>
  <si>
    <t>Совокупные затраты</t>
  </si>
  <si>
    <t>Показатель</t>
  </si>
  <si>
    <t>Формула</t>
  </si>
  <si>
    <t>Значение</t>
  </si>
  <si>
    <t>ROI</t>
  </si>
  <si>
    <t>(1200000/4180000)*100%</t>
  </si>
  <si>
    <t>IRR (ВСД)</t>
  </si>
  <si>
    <t>NPV (ЧИСТНЗ)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</si>
</sst>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[$₽-419]_-;\-* #,##0\ [$₽-419]_-;_-* &quot;-&quot;??\ [$₽-419]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9" fontId="0" fillId="0" borderId="0" xfId="1" applyFont="1"/>
    <xf numFmtId="44" fontId="0" fillId="0" borderId="0" xfId="2" applyFont="1"/>
    <xf numFmtId="9" fontId="0" fillId="0" borderId="0" xfId="0" applyNumberFormat="1"/>
    <xf numFmtId="0" fontId="0" fillId="0" borderId="0" xfId="0" applyFont="1"/>
  </cellXfs>
  <cellStyles count="3">
    <cellStyle name="Денежный" xfId="2" builtinId="4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S-</a:t>
            </a:r>
            <a:r>
              <a:rPr lang="ru-RU"/>
              <a:t>Диаграмма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Лист1!$A$23</c:f>
              <c:strCache>
                <c:ptCount val="1"/>
                <c:pt idx="0">
                  <c:v>Месяц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Лист1!$A$25:$A$30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5-4AB5-90EE-C577C4C2FCB1}"/>
            </c:ext>
          </c:extLst>
        </c:ser>
        <c:ser>
          <c:idx val="1"/>
          <c:order val="1"/>
          <c:tx>
            <c:strRef>
              <c:f>Лист1!$D$23</c:f>
              <c:strCache>
                <c:ptCount val="1"/>
                <c:pt idx="0">
                  <c:v>Совокупные затраты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Лист1!$D$25:$D$30</c:f>
              <c:numCache>
                <c:formatCode>_-* #\ ##0\ [$₽-419]_-;\-* #\ ##0\ [$₽-419]_-;_-* "-"??\ [$₽-419]_-;_-@_-</c:formatCode>
                <c:ptCount val="6"/>
                <c:pt idx="0">
                  <c:v>370000</c:v>
                </c:pt>
                <c:pt idx="1">
                  <c:v>810000</c:v>
                </c:pt>
                <c:pt idx="2">
                  <c:v>1180000</c:v>
                </c:pt>
                <c:pt idx="3">
                  <c:v>1650000</c:v>
                </c:pt>
                <c:pt idx="4">
                  <c:v>2020000</c:v>
                </c:pt>
                <c:pt idx="5">
                  <c:v>2450000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5-4AB5-90EE-C577C4C2FC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3495615"/>
        <c:axId val="1113388495"/>
      </c:lineChart>
      <c:catAx>
        <c:axId val="1353495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3388495"/>
        <c:crosses val="autoZero"/>
        <c:auto val="1"/>
        <c:lblAlgn val="ctr"/>
        <c:lblOffset val="100"/>
        <c:noMultiLvlLbl val="0"/>
      </c:catAx>
      <c:valAx>
        <c:axId val="111338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Совокупные затраты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349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14</xdr:row>
      <xdr:rowOff>121920</xdr:rowOff>
    </xdr:from>
    <xdr:to>
      <xdr:col>12</xdr:col>
      <xdr:colOff>396240</xdr:colOff>
      <xdr:row>30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0592217-FE4A-4CFB-9302-2290E0F5C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9A38-3B91-49B1-AD6B-1A0F13F05FB9}">
  <dimension ref="A1:D35"/>
  <sheetViews>
    <sheetView tabSelected="1" topLeftCell="A7" workbookViewId="0">
      <selection activeCell="C35" sqref="C35"/>
    </sheetView>
  </sheetViews>
  <sheetFormatPr defaultRowHeight="14.4" x14ac:dyDescent="0.3"/>
  <cols>
    <col min="1" max="1" width="47.44140625" customWidth="1"/>
    <col min="2" max="2" width="24.88671875" bestFit="1" customWidth="1"/>
    <col min="3" max="3" width="25.77734375" bestFit="1" customWidth="1"/>
    <col min="4" max="4" width="21.77734375" bestFit="1" customWidth="1"/>
  </cols>
  <sheetData>
    <row r="1" spans="1: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</row>
    <row r="3" spans="1:4" x14ac:dyDescent="0.3">
      <c r="B3" t="s">
        <v>5</v>
      </c>
      <c r="C3" s="1">
        <v>120000</v>
      </c>
      <c r="D3" s="1">
        <f>C3*6</f>
        <v>720000</v>
      </c>
    </row>
    <row r="4" spans="1:4" x14ac:dyDescent="0.3">
      <c r="B4" t="s">
        <v>6</v>
      </c>
      <c r="C4" s="1">
        <v>200000</v>
      </c>
      <c r="D4" s="1">
        <f t="shared" ref="D4:D12" si="0">C4*6</f>
        <v>1200000</v>
      </c>
    </row>
    <row r="5" spans="1:4" x14ac:dyDescent="0.3">
      <c r="B5" t="s">
        <v>7</v>
      </c>
      <c r="C5" s="1">
        <v>80000</v>
      </c>
      <c r="D5" s="1">
        <f t="shared" si="0"/>
        <v>480000</v>
      </c>
    </row>
    <row r="6" spans="1:4" x14ac:dyDescent="0.3">
      <c r="B6" t="s">
        <v>8</v>
      </c>
      <c r="C6" s="1">
        <v>70000</v>
      </c>
      <c r="D6" s="1">
        <f t="shared" si="0"/>
        <v>420000</v>
      </c>
    </row>
    <row r="7" spans="1:4" x14ac:dyDescent="0.3">
      <c r="A7" t="s">
        <v>9</v>
      </c>
      <c r="C7" s="1"/>
      <c r="D7" s="1"/>
    </row>
    <row r="8" spans="1:4" x14ac:dyDescent="0.3">
      <c r="B8" t="s">
        <v>10</v>
      </c>
      <c r="C8" s="1">
        <v>50000</v>
      </c>
      <c r="D8" s="1">
        <f t="shared" si="0"/>
        <v>300000</v>
      </c>
    </row>
    <row r="9" spans="1:4" x14ac:dyDescent="0.3">
      <c r="B9" t="s">
        <v>11</v>
      </c>
      <c r="C9" s="1">
        <v>150000</v>
      </c>
      <c r="D9" s="1">
        <f>C9*1</f>
        <v>150000</v>
      </c>
    </row>
    <row r="10" spans="1:4" x14ac:dyDescent="0.3">
      <c r="A10" t="s">
        <v>12</v>
      </c>
      <c r="C10" s="1"/>
      <c r="D10" s="1"/>
    </row>
    <row r="11" spans="1:4" x14ac:dyDescent="0.3">
      <c r="B11" t="s">
        <v>13</v>
      </c>
      <c r="C11" s="1">
        <v>40000</v>
      </c>
      <c r="D11" s="1">
        <f t="shared" si="0"/>
        <v>240000</v>
      </c>
    </row>
    <row r="12" spans="1:4" x14ac:dyDescent="0.3">
      <c r="B12" t="s">
        <v>14</v>
      </c>
      <c r="C12" s="1">
        <v>10000</v>
      </c>
      <c r="D12" s="1">
        <f t="shared" si="0"/>
        <v>60000</v>
      </c>
    </row>
    <row r="13" spans="1:4" x14ac:dyDescent="0.3">
      <c r="A13" t="s">
        <v>15</v>
      </c>
      <c r="C13" s="1"/>
      <c r="D13" s="1"/>
    </row>
    <row r="14" spans="1:4" x14ac:dyDescent="0.3">
      <c r="B14" t="s">
        <v>16</v>
      </c>
      <c r="D14" s="1">
        <v>70000</v>
      </c>
    </row>
    <row r="15" spans="1:4" x14ac:dyDescent="0.3">
      <c r="B15" t="s">
        <v>17</v>
      </c>
      <c r="D15" s="1">
        <v>100000</v>
      </c>
    </row>
    <row r="16" spans="1:4" x14ac:dyDescent="0.3">
      <c r="B16" t="s">
        <v>18</v>
      </c>
      <c r="D16" s="1">
        <v>60000</v>
      </c>
    </row>
    <row r="17" spans="1:4" x14ac:dyDescent="0.3">
      <c r="A17" t="s">
        <v>19</v>
      </c>
      <c r="C17" s="1"/>
      <c r="D17" s="1">
        <f>SUM(D3:D16)</f>
        <v>3800000</v>
      </c>
    </row>
    <row r="18" spans="1:4" x14ac:dyDescent="0.3">
      <c r="A18" t="s">
        <v>20</v>
      </c>
      <c r="C18" s="1"/>
      <c r="D18" s="1">
        <f>D17*10%</f>
        <v>380000</v>
      </c>
    </row>
    <row r="19" spans="1:4" x14ac:dyDescent="0.3">
      <c r="A19" t="s">
        <v>21</v>
      </c>
      <c r="C19" s="1"/>
      <c r="D19" s="1">
        <f>D17+D18</f>
        <v>4180000</v>
      </c>
    </row>
    <row r="23" spans="1:4" x14ac:dyDescent="0.3">
      <c r="A23" s="2" t="s">
        <v>22</v>
      </c>
      <c r="B23" s="2" t="s">
        <v>23</v>
      </c>
      <c r="C23" s="2" t="s">
        <v>24</v>
      </c>
      <c r="D23" s="2" t="s">
        <v>25</v>
      </c>
    </row>
    <row r="24" spans="1:4" x14ac:dyDescent="0.3">
      <c r="A24" s="7">
        <v>0</v>
      </c>
      <c r="B24" s="7"/>
      <c r="C24" s="7"/>
      <c r="D24" s="7">
        <v>-1200000</v>
      </c>
    </row>
    <row r="25" spans="1:4" x14ac:dyDescent="0.3">
      <c r="A25" s="3">
        <v>1</v>
      </c>
      <c r="B25" s="1">
        <v>370000</v>
      </c>
      <c r="C25" s="1">
        <f>B25</f>
        <v>370000</v>
      </c>
      <c r="D25" s="1">
        <f>(C25)</f>
        <v>370000</v>
      </c>
    </row>
    <row r="26" spans="1:4" x14ac:dyDescent="0.3">
      <c r="A26" s="3">
        <v>2</v>
      </c>
      <c r="B26" s="1">
        <v>370000</v>
      </c>
      <c r="C26" s="1">
        <f>B26+70000</f>
        <v>440000</v>
      </c>
      <c r="D26" s="1">
        <f>C26+D25</f>
        <v>810000</v>
      </c>
    </row>
    <row r="27" spans="1:4" x14ac:dyDescent="0.3">
      <c r="A27" s="3">
        <v>3</v>
      </c>
      <c r="B27" s="1">
        <v>370000</v>
      </c>
      <c r="C27" s="1">
        <f>B27</f>
        <v>370000</v>
      </c>
      <c r="D27" s="1">
        <f>C27+D26</f>
        <v>1180000</v>
      </c>
    </row>
    <row r="28" spans="1:4" x14ac:dyDescent="0.3">
      <c r="A28" s="3">
        <v>4</v>
      </c>
      <c r="B28" s="1">
        <v>370000</v>
      </c>
      <c r="C28" s="1">
        <f>B28+100000</f>
        <v>470000</v>
      </c>
      <c r="D28" s="1">
        <f t="shared" ref="D28:D30" si="1">C28+D27</f>
        <v>1650000</v>
      </c>
    </row>
    <row r="29" spans="1:4" x14ac:dyDescent="0.3">
      <c r="A29" s="3">
        <v>5</v>
      </c>
      <c r="B29" s="1">
        <v>370000</v>
      </c>
      <c r="C29" s="1">
        <f>B29</f>
        <v>370000</v>
      </c>
      <c r="D29" s="1">
        <f t="shared" si="1"/>
        <v>2020000</v>
      </c>
    </row>
    <row r="30" spans="1:4" x14ac:dyDescent="0.3">
      <c r="A30" s="3">
        <v>6</v>
      </c>
      <c r="B30" s="1">
        <v>370000</v>
      </c>
      <c r="C30" s="1">
        <f>B30+60000</f>
        <v>430000</v>
      </c>
      <c r="D30" s="1">
        <f t="shared" si="1"/>
        <v>2450000</v>
      </c>
    </row>
    <row r="32" spans="1:4" x14ac:dyDescent="0.3">
      <c r="A32" t="s">
        <v>26</v>
      </c>
      <c r="B32" t="s">
        <v>27</v>
      </c>
      <c r="C32" t="s">
        <v>28</v>
      </c>
    </row>
    <row r="33" spans="1:3" x14ac:dyDescent="0.3">
      <c r="A33" t="s">
        <v>29</v>
      </c>
      <c r="B33" t="s">
        <v>30</v>
      </c>
      <c r="C33" s="4">
        <f>(1200000/4180000)*100%</f>
        <v>0.28708133971291866</v>
      </c>
    </row>
    <row r="34" spans="1:3" x14ac:dyDescent="0.3">
      <c r="A34" t="s">
        <v>32</v>
      </c>
      <c r="C34" s="5">
        <f>XNPV(10,C25:C30,A25:A30)</f>
        <v>2409625.2967272578</v>
      </c>
    </row>
    <row r="35" spans="1:3" x14ac:dyDescent="0.3">
      <c r="A35" t="s">
        <v>31</v>
      </c>
      <c r="C35" s="6">
        <f>IRR(D23:D30,0.1)</f>
        <v>0.69044193688036071</v>
      </c>
    </row>
  </sheetData>
  <pageMargins left="0.7" right="0.7" top="0.75" bottom="0.75" header="0.3" footer="0.3"/>
  <pageSetup paperSize="9" orientation="portrait" r:id="rId1"/>
  <ignoredErrors>
    <ignoredError sqref="C26 C2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Почерняев Михаил Евгеньевич</dc:creator>
  <cp:lastModifiedBy>Почерняев Михаил Евгеньевич</cp:lastModifiedBy>
  <dcterms:created xsi:type="dcterms:W3CDTF">2025-05-04T18:57:19Z</dcterms:created>
  <dcterms:modified xsi:type="dcterms:W3CDTF">2025-05-05T10:15:18Z</dcterms:modified>
</cp:coreProperties>
</file>