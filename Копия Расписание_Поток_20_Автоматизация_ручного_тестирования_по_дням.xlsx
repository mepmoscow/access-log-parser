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Pochernyaev\Documents\Обучение\"/>
    </mc:Choice>
  </mc:AlternateContent>
  <xr:revisionPtr revIDLastSave="0" documentId="8_{5D8BEC1D-27D9-47DF-AB7E-C3EE363E6588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G136" i="1" l="1"/>
  <c r="G128" i="1"/>
  <c r="G120" i="1"/>
  <c r="G111" i="1"/>
  <c r="G103" i="1"/>
  <c r="G95" i="1"/>
  <c r="G87" i="1"/>
  <c r="G79" i="1"/>
  <c r="G70" i="1"/>
  <c r="G62" i="1"/>
  <c r="G54" i="1"/>
  <c r="G46" i="1"/>
  <c r="G38" i="1"/>
  <c r="G30" i="1"/>
  <c r="G22" i="1"/>
  <c r="G14" i="1"/>
  <c r="G7" i="1"/>
  <c r="G143" i="1" l="1"/>
  <c r="F7" i="1"/>
  <c r="F136" i="1" l="1"/>
  <c r="F128" i="1"/>
  <c r="F120" i="1"/>
  <c r="F111" i="1"/>
  <c r="F103" i="1"/>
  <c r="F95" i="1"/>
  <c r="F87" i="1"/>
  <c r="F79" i="1"/>
  <c r="F70" i="1"/>
  <c r="F62" i="1"/>
  <c r="F54" i="1"/>
  <c r="F46" i="1"/>
  <c r="F38" i="1"/>
  <c r="F30" i="1"/>
  <c r="F22" i="1"/>
  <c r="F14" i="1"/>
  <c r="F143" i="1" l="1"/>
</calcChain>
</file>

<file path=xl/sharedStrings.xml><?xml version="1.0" encoding="utf-8"?>
<sst xmlns="http://schemas.openxmlformats.org/spreadsheetml/2006/main" count="308" uniqueCount="79">
  <si>
    <t>Дата</t>
  </si>
  <si>
    <t>Время</t>
  </si>
  <si>
    <t>День недели</t>
  </si>
  <si>
    <t>Название модуля</t>
  </si>
  <si>
    <t>Формат</t>
  </si>
  <si>
    <t>(часов)</t>
  </si>
  <si>
    <t>-</t>
  </si>
  <si>
    <t>пн</t>
  </si>
  <si>
    <t>Вступительный вебинар</t>
  </si>
  <si>
    <t>вт</t>
  </si>
  <si>
    <t>Вебинар</t>
  </si>
  <si>
    <t>ср</t>
  </si>
  <si>
    <t>GIT, GitHub</t>
  </si>
  <si>
    <t>Видео</t>
  </si>
  <si>
    <t>чт</t>
  </si>
  <si>
    <t>Самостоятельная практика</t>
  </si>
  <si>
    <t>пт</t>
  </si>
  <si>
    <t>Среда разработки Intellij Idea</t>
  </si>
  <si>
    <t>Инструменты сборки. Maven</t>
  </si>
  <si>
    <t>Видео + Самостоятельная практика</t>
  </si>
  <si>
    <t>Особенности работы с Maven</t>
  </si>
  <si>
    <t>Java Basic. Hello world</t>
  </si>
  <si>
    <t xml:space="preserve">Видео </t>
  </si>
  <si>
    <t xml:space="preserve"> Самостоятельная практика</t>
  </si>
  <si>
    <t>Java Basic. Типы данных</t>
  </si>
  <si>
    <t>Java Basic. Классы и Методы</t>
  </si>
  <si>
    <t>Java Basic. Условия</t>
  </si>
  <si>
    <t>Java Basic. Циклы</t>
  </si>
  <si>
    <t>Java Basic. Массивы</t>
  </si>
  <si>
    <t>ООП. Объекты и классы</t>
  </si>
  <si>
    <t>ООП. Инициализация объектов</t>
  </si>
  <si>
    <t>ООП. Инкапсуляция</t>
  </si>
  <si>
    <t>ООП. Oтношения классов</t>
  </si>
  <si>
    <t>ООП. Полиморфизм</t>
  </si>
  <si>
    <t>ООП. Пакеты</t>
  </si>
  <si>
    <t xml:space="preserve">Видео + Самостоятельная практика </t>
  </si>
  <si>
    <t>ООП. Object</t>
  </si>
  <si>
    <t>ООП. Перечисления</t>
  </si>
  <si>
    <t>ООП. Исключения</t>
  </si>
  <si>
    <t>Видео  + Самостоятельная практика</t>
  </si>
  <si>
    <t>Индивидуальная консультация</t>
  </si>
  <si>
    <t>Индивидуальная консультанция</t>
  </si>
  <si>
    <t>Collections</t>
  </si>
  <si>
    <t>Видео+лонгрид +Самостоятельная практика</t>
  </si>
  <si>
    <t>StreamAPI</t>
  </si>
  <si>
    <t>Видео+лонгрид</t>
  </si>
  <si>
    <t>ReflectionAPI</t>
  </si>
  <si>
    <t>18.00</t>
  </si>
  <si>
    <t>Strem API+Reflection API + Collections.</t>
  </si>
  <si>
    <t>Общая теория тестирования</t>
  </si>
  <si>
    <t>JUnit</t>
  </si>
  <si>
    <t>Тестирование API (Rest Assured)</t>
  </si>
  <si>
    <t>Тестирование JDBC (БД)</t>
  </si>
  <si>
    <t>Тестирование UI (WebDriver, Selenide)</t>
  </si>
  <si>
    <t>Тестирование API, JDBC, UI</t>
  </si>
  <si>
    <t>Отчетность (Allure, TestIT)</t>
  </si>
  <si>
    <t xml:space="preserve">Итоговое тестирование </t>
  </si>
  <si>
    <r>
      <t xml:space="preserve">Сложные моменты работы в Allure. </t>
    </r>
    <r>
      <rPr>
        <b/>
        <sz val="10"/>
        <color theme="1"/>
        <rFont val="Calibri"/>
        <family val="2"/>
        <charset val="204"/>
        <scheme val="minor"/>
      </rPr>
      <t>Завершение</t>
    </r>
  </si>
  <si>
    <t>Всего часов</t>
  </si>
  <si>
    <t>Неделя 1</t>
  </si>
  <si>
    <t>Неделя 2</t>
  </si>
  <si>
    <t>Неделя 3</t>
  </si>
  <si>
    <t>Неделя 4</t>
  </si>
  <si>
    <t>Неделя 5</t>
  </si>
  <si>
    <t>Неделя 6</t>
  </si>
  <si>
    <t>Неделя 7</t>
  </si>
  <si>
    <t>Неделя 8</t>
  </si>
  <si>
    <t xml:space="preserve">Неделя 13 </t>
  </si>
  <si>
    <t xml:space="preserve">Неделя 14 </t>
  </si>
  <si>
    <t xml:space="preserve">Неделя 15 </t>
  </si>
  <si>
    <t>Неделя 16</t>
  </si>
  <si>
    <t xml:space="preserve">Неделя 17 </t>
  </si>
  <si>
    <t>Неделя 12</t>
  </si>
  <si>
    <t>Неделя 11</t>
  </si>
  <si>
    <t>Неделя 10</t>
  </si>
  <si>
    <t>Неделя 9</t>
  </si>
  <si>
    <t>Время минимальное</t>
  </si>
  <si>
    <t>Время максимальное</t>
  </si>
  <si>
    <r>
      <t xml:space="preserve">1. Длительность программы - </t>
    </r>
    <r>
      <rPr>
        <b/>
        <sz val="10"/>
        <color theme="1"/>
        <rFont val="Calibri"/>
        <family val="2"/>
        <charset val="204"/>
        <scheme val="minor"/>
      </rPr>
      <t>17 недель.</t>
    </r>
    <r>
      <rPr>
        <sz val="10"/>
        <color theme="1"/>
        <rFont val="Calibri"/>
        <family val="2"/>
        <charset val="204"/>
        <scheme val="minor"/>
      </rPr>
      <t xml:space="preserve"> 
2. Суммарный</t>
    </r>
    <r>
      <rPr>
        <b/>
        <sz val="10"/>
        <color theme="1"/>
        <rFont val="Calibri"/>
        <family val="2"/>
        <charset val="204"/>
        <scheme val="minor"/>
      </rPr>
      <t xml:space="preserve"> объем теории - 39 часов, практики (самостоятельной + на вебинарах) - 47-90 часов. </t>
    </r>
    <r>
      <rPr>
        <sz val="10"/>
        <color theme="1"/>
        <rFont val="Calibri"/>
        <family val="2"/>
        <charset val="204"/>
        <scheme val="minor"/>
      </rPr>
      <t xml:space="preserve">Общая длительность программы от </t>
    </r>
    <r>
      <rPr>
        <b/>
        <sz val="10"/>
        <color theme="1"/>
        <rFont val="Calibri"/>
        <family val="2"/>
        <charset val="204"/>
        <scheme val="minor"/>
      </rPr>
      <t>86 до 129 часов</t>
    </r>
    <r>
      <rPr>
        <sz val="10"/>
        <color theme="1"/>
        <rFont val="Calibri"/>
        <family val="2"/>
        <charset val="204"/>
        <scheme val="minor"/>
      </rPr>
      <t xml:space="preserve"> (в зависимости от подготовки и опыта ученика) 
3. Средняя нагрузка в неделю</t>
    </r>
    <r>
      <rPr>
        <b/>
        <sz val="10"/>
        <color theme="1"/>
        <rFont val="Calibri"/>
        <family val="2"/>
        <charset val="204"/>
        <scheme val="minor"/>
      </rPr>
      <t xml:space="preserve"> - 4-8 часов.</t>
    </r>
    <r>
      <rPr>
        <sz val="10"/>
        <color theme="1"/>
        <rFont val="Calibri"/>
        <family val="2"/>
        <charset val="204"/>
        <scheme val="minor"/>
      </rPr>
      <t xml:space="preserve">
4. На протяжении всей программы обучающиеся могут взять </t>
    </r>
    <r>
      <rPr>
        <b/>
        <sz val="10"/>
        <color theme="1"/>
        <rFont val="Calibri"/>
        <family val="2"/>
        <charset val="204"/>
        <scheme val="minor"/>
      </rPr>
      <t>2 индивидуальные консультации</t>
    </r>
    <r>
      <rPr>
        <sz val="10"/>
        <color theme="1"/>
        <rFont val="Calibri"/>
        <family val="2"/>
        <charset val="204"/>
        <scheme val="minor"/>
      </rPr>
      <t xml:space="preserve">. В программе обозначили наиболее сложные темы, после которых рекомендуем ими воспользоваться. Но участники могут выбрать и другие темы для индивидуальных встреч с экспертом. 
5. </t>
    </r>
    <r>
      <rPr>
        <b/>
        <sz val="10"/>
        <color theme="1"/>
        <rFont val="Calibri"/>
        <family val="2"/>
        <charset val="204"/>
        <scheme val="minor"/>
      </rPr>
      <t>Старт программы - 9.06.2025, окончание - 3.10.2025.</t>
    </r>
    <r>
      <rPr>
        <sz val="10"/>
        <color theme="1"/>
        <rFont val="Calibri"/>
        <family val="2"/>
        <charset val="204"/>
        <scheme val="minor"/>
      </rPr>
      <t xml:space="preserve">
6. Видеоуроки открываются после вебинаров. Время на выполнение заданий - до вебинара по теме, либо до начала изучения следующей темы.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</si>
</sst>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8" x14ac:knownFonts="1">
    <font>
      <sz val="11"/>
      <color theme="1"/>
      <name val="Calibri"/>
      <scheme val="minor"/>
    </font>
    <font>
      <b/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indexed="65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indexed="65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9DAF8"/>
      </patternFill>
    </fill>
    <fill>
      <patternFill patternType="solid">
        <fgColor theme="8" tint="0.59999389629810485"/>
        <bgColor rgb="FFC9DAF8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C9DAF8"/>
        <bgColor indexed="64"/>
      </patternFill>
    </fill>
  </fills>
  <borders count="48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 style="thin">
        <color theme="2" tint="-0.249977111117893"/>
      </top>
      <bottom/>
      <diagonal/>
    </border>
    <border>
      <left style="thin">
        <color rgb="FFB7B7B7"/>
      </left>
      <right/>
      <top style="thin">
        <color rgb="FFB7B7B7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rgb="FFB7B7B7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rgb="FFB7B7B7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rgb="FFB7B7B7"/>
      </right>
      <top style="thin">
        <color rgb="FFB7B7B7"/>
      </top>
      <bottom style="thin">
        <color theme="2" tint="-0.249977111117893"/>
      </bottom>
      <diagonal/>
    </border>
    <border>
      <left style="thin">
        <color rgb="FFB7B7B7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rgb="FFB7B7B7"/>
      </left>
      <right style="thin">
        <color theme="2" tint="-0.249977111117893"/>
      </right>
      <top/>
      <bottom style="thin">
        <color rgb="FFB7B7B7"/>
      </bottom>
      <diagonal/>
    </border>
    <border>
      <left style="thin">
        <color theme="2" tint="-0.249977111117893"/>
      </left>
      <right style="thin">
        <color rgb="FFB7B7B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rgb="FFB7B7B7"/>
      </bottom>
      <diagonal/>
    </border>
    <border>
      <left style="thin">
        <color auto="1"/>
      </left>
      <right style="thin">
        <color theme="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theme="2" tint="-0.249977111117893"/>
      </bottom>
      <diagonal/>
    </border>
    <border>
      <left style="thin">
        <color rgb="FFB7B7B7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rgb="FFB7B7B7"/>
      </left>
      <right/>
      <top style="thin">
        <color rgb="FFB7B7B7"/>
      </top>
      <bottom style="thin">
        <color theme="2" tint="-9.9978637043366805E-2"/>
      </bottom>
      <diagonal/>
    </border>
    <border>
      <left/>
      <right/>
      <top style="thin">
        <color rgb="FFB7B7B7"/>
      </top>
      <bottom style="thin">
        <color theme="2" tint="-9.9978637043366805E-2"/>
      </bottom>
      <diagonal/>
    </border>
    <border>
      <left/>
      <right style="thin">
        <color theme="2" tint="-0.249977111117893"/>
      </right>
      <top style="thin">
        <color rgb="FFB7B7B7"/>
      </top>
      <bottom style="thin">
        <color theme="2" tint="-9.9978637043366805E-2"/>
      </bottom>
      <diagonal/>
    </border>
    <border>
      <left style="thin">
        <color rgb="FFB7B7B7"/>
      </left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rgb="FFB7B7B7"/>
      </top>
      <bottom style="thin">
        <color theme="2" tint="-0.249977111117893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2" tint="-0.14999847407452621"/>
      </bottom>
      <diagonal/>
    </border>
    <border>
      <left/>
      <right/>
      <top/>
      <bottom style="thin">
        <color indexed="64"/>
      </bottom>
      <diagonal/>
    </border>
    <border>
      <left style="thin">
        <color theme="6" tint="0.39997558519241921"/>
      </left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0" fontId="1" fillId="0" borderId="1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5" borderId="16" xfId="0" applyFont="1" applyFill="1" applyBorder="1" applyAlignment="1">
      <alignment wrapText="1"/>
    </xf>
    <xf numFmtId="1" fontId="6" fillId="5" borderId="21" xfId="0" applyNumberFormat="1" applyFont="1" applyFill="1" applyBorder="1" applyAlignment="1">
      <alignment horizont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34" xfId="0" applyBorder="1"/>
    <xf numFmtId="0" fontId="4" fillId="0" borderId="15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33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4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wrapText="1"/>
    </xf>
    <xf numFmtId="0" fontId="5" fillId="10" borderId="0" xfId="0" applyFont="1" applyFill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1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wrapText="1"/>
    </xf>
    <xf numFmtId="0" fontId="3" fillId="3" borderId="4" xfId="0" applyFont="1" applyFill="1" applyBorder="1" applyAlignment="1">
      <alignment vertical="center" wrapText="1"/>
    </xf>
    <xf numFmtId="0" fontId="3" fillId="3" borderId="47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3" xfId="0" applyFont="1" applyBorder="1" applyAlignment="1">
      <alignment horizontal="left" vertical="center" wrapText="1"/>
    </xf>
    <xf numFmtId="14" fontId="3" fillId="0" borderId="14" xfId="0" applyNumberFormat="1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15" xfId="0" applyFont="1" applyBorder="1" applyAlignment="1">
      <alignment wrapText="1"/>
    </xf>
    <xf numFmtId="14" fontId="3" fillId="0" borderId="46" xfId="0" applyNumberFormat="1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0" fontId="0" fillId="5" borderId="23" xfId="0" applyFill="1" applyBorder="1" applyAlignment="1">
      <alignment horizontal="left" vertical="center" wrapText="1"/>
    </xf>
    <xf numFmtId="0" fontId="0" fillId="5" borderId="24" xfId="0" applyFill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14" fontId="0" fillId="0" borderId="5" xfId="0" applyNumberFormat="1" applyBorder="1" applyAlignment="1">
      <alignment horizont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0" fillId="0" borderId="9" xfId="0" applyBorder="1" applyAlignment="1">
      <alignment horizontal="center" wrapText="1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D9EEB"/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zoomScale="95" workbookViewId="0">
      <selection activeCell="A2" sqref="A2:G2"/>
    </sheetView>
  </sheetViews>
  <sheetFormatPr defaultRowHeight="15" x14ac:dyDescent="0.25"/>
  <cols>
    <col min="1" max="1" width="17.42578125" customWidth="1"/>
    <col min="4" max="4" width="35.28515625" customWidth="1"/>
    <col min="5" max="5" width="16.7109375" customWidth="1"/>
    <col min="6" max="6" width="16.140625" customWidth="1"/>
    <col min="7" max="7" width="16" customWidth="1"/>
  </cols>
  <sheetData>
    <row r="1" spans="1:8" x14ac:dyDescent="0.25">
      <c r="A1" s="85"/>
      <c r="B1" s="86"/>
      <c r="C1" s="86"/>
      <c r="D1" s="86"/>
      <c r="E1" s="86"/>
      <c r="F1" s="86"/>
      <c r="G1" s="70"/>
    </row>
    <row r="2" spans="1:8" ht="181.15" customHeight="1" x14ac:dyDescent="0.25">
      <c r="A2" s="88" t="s">
        <v>78</v>
      </c>
      <c r="B2" s="89"/>
      <c r="C2" s="89"/>
      <c r="D2" s="89"/>
      <c r="E2" s="89"/>
      <c r="F2" s="89"/>
      <c r="G2" s="89"/>
    </row>
    <row r="3" spans="1:8" x14ac:dyDescent="0.25">
      <c r="A3" s="87"/>
      <c r="B3" s="81"/>
      <c r="C3" s="81"/>
      <c r="D3" s="81"/>
      <c r="E3" s="81"/>
      <c r="F3" s="82"/>
      <c r="G3" s="2"/>
    </row>
    <row r="4" spans="1:8" x14ac:dyDescent="0.25">
      <c r="A4" s="3"/>
      <c r="B4" s="3"/>
      <c r="C4" s="3"/>
      <c r="D4" s="3"/>
      <c r="E4" s="3"/>
      <c r="F4" s="3"/>
      <c r="G4" s="71"/>
    </row>
    <row r="5" spans="1:8" ht="25.5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76</v>
      </c>
      <c r="G5" s="4" t="s">
        <v>77</v>
      </c>
    </row>
    <row r="6" spans="1:8" x14ac:dyDescent="0.25">
      <c r="A6" s="80" t="s">
        <v>59</v>
      </c>
      <c r="B6" s="81"/>
      <c r="C6" s="81"/>
      <c r="D6" s="81"/>
      <c r="E6" s="81"/>
      <c r="F6" s="82"/>
      <c r="G6" s="72"/>
    </row>
    <row r="7" spans="1:8" x14ac:dyDescent="0.25">
      <c r="A7" s="61">
        <v>45817</v>
      </c>
      <c r="B7" s="67" t="s">
        <v>6</v>
      </c>
      <c r="C7" s="8" t="s">
        <v>7</v>
      </c>
      <c r="D7" s="90" t="s">
        <v>8</v>
      </c>
      <c r="F7" s="5">
        <f>SUM(F8:F10)/60</f>
        <v>5</v>
      </c>
      <c r="G7" s="5">
        <f>SUM(G8:G10)/60</f>
        <v>6</v>
      </c>
      <c r="H7" s="6" t="s">
        <v>5</v>
      </c>
    </row>
    <row r="8" spans="1:8" ht="18.600000000000001" customHeight="1" x14ac:dyDescent="0.25">
      <c r="A8" s="61">
        <v>45818</v>
      </c>
      <c r="B8" s="9">
        <v>0.75</v>
      </c>
      <c r="C8" s="8" t="s">
        <v>9</v>
      </c>
      <c r="D8" s="91"/>
      <c r="E8" s="10" t="s">
        <v>10</v>
      </c>
      <c r="F8" s="11">
        <v>90</v>
      </c>
      <c r="G8" s="11">
        <v>90</v>
      </c>
    </row>
    <row r="9" spans="1:8" x14ac:dyDescent="0.25">
      <c r="A9" s="61">
        <v>45819</v>
      </c>
      <c r="B9" s="67" t="s">
        <v>6</v>
      </c>
      <c r="C9" s="67" t="s">
        <v>11</v>
      </c>
      <c r="D9" s="92" t="s">
        <v>12</v>
      </c>
      <c r="E9" s="11" t="s">
        <v>13</v>
      </c>
      <c r="F9" s="12">
        <v>150</v>
      </c>
      <c r="G9" s="12">
        <v>150</v>
      </c>
    </row>
    <row r="10" spans="1:8" ht="25.5" x14ac:dyDescent="0.25">
      <c r="A10" s="61">
        <v>45820</v>
      </c>
      <c r="B10" s="67" t="s">
        <v>6</v>
      </c>
      <c r="C10" s="67" t="s">
        <v>14</v>
      </c>
      <c r="D10" s="93"/>
      <c r="E10" s="11" t="s">
        <v>15</v>
      </c>
      <c r="F10" s="11">
        <v>60</v>
      </c>
      <c r="G10" s="12">
        <v>120</v>
      </c>
    </row>
    <row r="11" spans="1:8" x14ac:dyDescent="0.25">
      <c r="A11" s="61">
        <v>45821</v>
      </c>
      <c r="B11" s="67" t="s">
        <v>6</v>
      </c>
      <c r="C11" s="67" t="s">
        <v>16</v>
      </c>
      <c r="D11" s="94"/>
      <c r="E11" s="1"/>
      <c r="F11" s="11"/>
      <c r="G11" s="2"/>
    </row>
    <row r="12" spans="1:8" ht="24.6" customHeight="1" x14ac:dyDescent="0.25">
      <c r="A12" s="84"/>
      <c r="B12" s="76"/>
      <c r="C12" s="76"/>
      <c r="D12" s="76"/>
      <c r="E12" s="76"/>
      <c r="F12" s="77"/>
      <c r="G12" s="2"/>
    </row>
    <row r="13" spans="1:8" x14ac:dyDescent="0.25">
      <c r="A13" s="80" t="s">
        <v>60</v>
      </c>
      <c r="B13" s="81"/>
      <c r="C13" s="81"/>
      <c r="D13" s="81"/>
      <c r="E13" s="81"/>
      <c r="F13" s="82"/>
      <c r="G13" s="72"/>
    </row>
    <row r="14" spans="1:8" x14ac:dyDescent="0.25">
      <c r="A14" s="75"/>
      <c r="B14" s="76"/>
      <c r="C14" s="76"/>
      <c r="D14" s="76"/>
      <c r="E14" s="77"/>
      <c r="F14" s="5">
        <f>SUM(F15:F19)/60</f>
        <v>6</v>
      </c>
      <c r="G14" s="5">
        <f>SUM(G15:G19)/60</f>
        <v>10.666666666666666</v>
      </c>
      <c r="H14" s="6" t="s">
        <v>5</v>
      </c>
    </row>
    <row r="15" spans="1:8" x14ac:dyDescent="0.25">
      <c r="A15" s="62">
        <v>45824</v>
      </c>
      <c r="B15" s="7" t="s">
        <v>6</v>
      </c>
      <c r="C15" s="7" t="s">
        <v>7</v>
      </c>
      <c r="D15" s="78" t="s">
        <v>17</v>
      </c>
      <c r="E15" s="1"/>
      <c r="F15" s="11"/>
      <c r="G15" s="2"/>
    </row>
    <row r="16" spans="1:8" x14ac:dyDescent="0.25">
      <c r="A16" s="62">
        <v>45825</v>
      </c>
      <c r="B16" s="7" t="s">
        <v>6</v>
      </c>
      <c r="C16" s="7" t="s">
        <v>9</v>
      </c>
      <c r="D16" s="83"/>
      <c r="E16" s="11" t="s">
        <v>13</v>
      </c>
      <c r="F16" s="11">
        <v>40</v>
      </c>
      <c r="G16" s="11">
        <v>40</v>
      </c>
    </row>
    <row r="17" spans="1:8" ht="25.5" x14ac:dyDescent="0.25">
      <c r="A17" s="62">
        <v>45826</v>
      </c>
      <c r="B17" s="7" t="s">
        <v>6</v>
      </c>
      <c r="C17" s="11" t="s">
        <v>11</v>
      </c>
      <c r="D17" s="83"/>
      <c r="E17" s="11" t="s">
        <v>15</v>
      </c>
      <c r="F17" s="11">
        <v>60</v>
      </c>
      <c r="G17" s="11">
        <v>120</v>
      </c>
    </row>
    <row r="18" spans="1:8" ht="38.25" x14ac:dyDescent="0.25">
      <c r="A18" s="62">
        <v>45827</v>
      </c>
      <c r="B18" s="7" t="s">
        <v>6</v>
      </c>
      <c r="C18" s="11" t="s">
        <v>14</v>
      </c>
      <c r="D18" s="14" t="s">
        <v>18</v>
      </c>
      <c r="E18" s="11" t="s">
        <v>19</v>
      </c>
      <c r="F18" s="11">
        <v>220</v>
      </c>
      <c r="G18" s="11">
        <v>400</v>
      </c>
    </row>
    <row r="19" spans="1:8" ht="25.5" x14ac:dyDescent="0.25">
      <c r="A19" s="62">
        <v>45828</v>
      </c>
      <c r="B19" s="7" t="s">
        <v>6</v>
      </c>
      <c r="C19" s="11" t="s">
        <v>16</v>
      </c>
      <c r="D19" s="15" t="s">
        <v>18</v>
      </c>
      <c r="E19" s="11" t="s">
        <v>15</v>
      </c>
      <c r="F19" s="11">
        <v>40</v>
      </c>
      <c r="G19" s="12">
        <v>80</v>
      </c>
    </row>
    <row r="20" spans="1:8" ht="22.9" customHeight="1" x14ac:dyDescent="0.25">
      <c r="A20" s="84"/>
      <c r="B20" s="76"/>
      <c r="C20" s="76"/>
      <c r="D20" s="76"/>
      <c r="E20" s="76"/>
      <c r="F20" s="77"/>
      <c r="G20" s="2"/>
    </row>
    <row r="21" spans="1:8" ht="18.600000000000001" customHeight="1" x14ac:dyDescent="0.25">
      <c r="A21" s="80" t="s">
        <v>61</v>
      </c>
      <c r="B21" s="81"/>
      <c r="C21" s="81"/>
      <c r="D21" s="81"/>
      <c r="E21" s="81"/>
      <c r="F21" s="82"/>
      <c r="G21" s="72"/>
    </row>
    <row r="22" spans="1:8" x14ac:dyDescent="0.25">
      <c r="A22" s="75"/>
      <c r="B22" s="76"/>
      <c r="C22" s="76"/>
      <c r="D22" s="76"/>
      <c r="E22" s="77"/>
      <c r="F22" s="5">
        <f>SUM(F23:F27)/60</f>
        <v>5.333333333333333</v>
      </c>
      <c r="G22" s="5">
        <f>SUM(G23:G27)/60</f>
        <v>7.666666666666667</v>
      </c>
      <c r="H22" s="6" t="s">
        <v>5</v>
      </c>
    </row>
    <row r="23" spans="1:8" x14ac:dyDescent="0.25">
      <c r="A23" s="62">
        <v>45831</v>
      </c>
      <c r="B23" s="7" t="s">
        <v>6</v>
      </c>
      <c r="C23" s="11" t="s">
        <v>7</v>
      </c>
      <c r="D23" s="78" t="s">
        <v>20</v>
      </c>
      <c r="G23" s="2"/>
    </row>
    <row r="24" spans="1:8" x14ac:dyDescent="0.25">
      <c r="A24" s="62">
        <v>45832</v>
      </c>
      <c r="B24" s="9">
        <v>0.75</v>
      </c>
      <c r="C24" s="7" t="s">
        <v>9</v>
      </c>
      <c r="D24" s="79"/>
      <c r="E24" s="10" t="s">
        <v>10</v>
      </c>
      <c r="F24" s="11">
        <v>90</v>
      </c>
      <c r="G24" s="11">
        <v>90</v>
      </c>
    </row>
    <row r="25" spans="1:8" x14ac:dyDescent="0.25">
      <c r="A25" s="62">
        <v>45833</v>
      </c>
      <c r="B25" s="7" t="s">
        <v>6</v>
      </c>
      <c r="C25" s="11" t="s">
        <v>11</v>
      </c>
      <c r="D25" s="78" t="s">
        <v>21</v>
      </c>
      <c r="E25" s="16" t="s">
        <v>22</v>
      </c>
      <c r="F25" s="16">
        <v>60</v>
      </c>
      <c r="G25" s="16">
        <v>60</v>
      </c>
    </row>
    <row r="26" spans="1:8" ht="25.5" x14ac:dyDescent="0.25">
      <c r="A26" s="62">
        <v>45834</v>
      </c>
      <c r="B26" s="7" t="s">
        <v>6</v>
      </c>
      <c r="C26" s="11" t="s">
        <v>14</v>
      </c>
      <c r="D26" s="79"/>
      <c r="E26" s="11" t="s">
        <v>23</v>
      </c>
      <c r="F26" s="11">
        <v>80</v>
      </c>
      <c r="G26" s="11">
        <v>160</v>
      </c>
    </row>
    <row r="27" spans="1:8" ht="38.25" x14ac:dyDescent="0.25">
      <c r="A27" s="62">
        <v>45835</v>
      </c>
      <c r="B27" s="7" t="s">
        <v>6</v>
      </c>
      <c r="C27" s="11" t="s">
        <v>16</v>
      </c>
      <c r="D27" s="15" t="s">
        <v>24</v>
      </c>
      <c r="E27" s="11" t="s">
        <v>19</v>
      </c>
      <c r="F27" s="11">
        <v>90</v>
      </c>
      <c r="G27" s="11">
        <v>150</v>
      </c>
    </row>
    <row r="28" spans="1:8" x14ac:dyDescent="0.25">
      <c r="A28" s="99"/>
      <c r="B28" s="76"/>
      <c r="C28" s="76"/>
      <c r="D28" s="76"/>
      <c r="E28" s="76"/>
      <c r="F28" s="77"/>
      <c r="G28" s="2"/>
    </row>
    <row r="29" spans="1:8" x14ac:dyDescent="0.25">
      <c r="A29" s="80" t="s">
        <v>62</v>
      </c>
      <c r="B29" s="81"/>
      <c r="C29" s="81"/>
      <c r="D29" s="81"/>
      <c r="E29" s="81"/>
      <c r="F29" s="82"/>
      <c r="G29" s="72"/>
    </row>
    <row r="30" spans="1:8" x14ac:dyDescent="0.25">
      <c r="A30" s="75"/>
      <c r="B30" s="76"/>
      <c r="C30" s="76"/>
      <c r="D30" s="76"/>
      <c r="E30" s="77"/>
      <c r="F30" s="5">
        <f>SUM(F31:F35)/60</f>
        <v>3.5</v>
      </c>
      <c r="G30" s="5">
        <f>SUM(G31:G35)/60</f>
        <v>5.666666666666667</v>
      </c>
      <c r="H30" s="6" t="s">
        <v>5</v>
      </c>
    </row>
    <row r="31" spans="1:8" x14ac:dyDescent="0.25">
      <c r="A31" s="63">
        <v>45838</v>
      </c>
      <c r="B31" s="7" t="s">
        <v>6</v>
      </c>
      <c r="C31" s="11" t="s">
        <v>7</v>
      </c>
      <c r="D31" s="95" t="s">
        <v>25</v>
      </c>
      <c r="G31" s="2"/>
    </row>
    <row r="32" spans="1:8" ht="14.45" customHeight="1" x14ac:dyDescent="0.25">
      <c r="A32" s="63">
        <v>45839</v>
      </c>
      <c r="B32" s="7" t="s">
        <v>6</v>
      </c>
      <c r="C32" s="11" t="s">
        <v>9</v>
      </c>
      <c r="D32" s="100"/>
      <c r="E32" s="11" t="s">
        <v>13</v>
      </c>
      <c r="F32" s="11">
        <v>40</v>
      </c>
      <c r="G32" s="11">
        <v>40</v>
      </c>
    </row>
    <row r="33" spans="1:8" ht="25.5" x14ac:dyDescent="0.25">
      <c r="A33" s="63">
        <v>45840</v>
      </c>
      <c r="B33" s="7" t="s">
        <v>6</v>
      </c>
      <c r="C33" s="11" t="s">
        <v>11</v>
      </c>
      <c r="D33" s="96"/>
      <c r="E33" s="11" t="s">
        <v>23</v>
      </c>
      <c r="F33" s="11">
        <v>40</v>
      </c>
      <c r="G33" s="11">
        <v>80</v>
      </c>
    </row>
    <row r="34" spans="1:8" x14ac:dyDescent="0.25">
      <c r="A34" s="63">
        <v>45841</v>
      </c>
      <c r="B34" s="7" t="s">
        <v>6</v>
      </c>
      <c r="C34" s="11" t="s">
        <v>14</v>
      </c>
      <c r="D34" s="95" t="s">
        <v>26</v>
      </c>
      <c r="E34" s="11" t="s">
        <v>22</v>
      </c>
      <c r="F34" s="11">
        <v>40</v>
      </c>
      <c r="G34" s="11">
        <v>40</v>
      </c>
    </row>
    <row r="35" spans="1:8" ht="25.5" x14ac:dyDescent="0.25">
      <c r="A35" s="63">
        <v>45842</v>
      </c>
      <c r="B35" s="7" t="s">
        <v>6</v>
      </c>
      <c r="C35" s="11" t="s">
        <v>16</v>
      </c>
      <c r="D35" s="96"/>
      <c r="E35" s="11" t="s">
        <v>15</v>
      </c>
      <c r="F35" s="11">
        <v>90</v>
      </c>
      <c r="G35" s="11">
        <v>180</v>
      </c>
    </row>
    <row r="36" spans="1:8" x14ac:dyDescent="0.25">
      <c r="A36" s="84"/>
      <c r="B36" s="76"/>
      <c r="C36" s="76"/>
      <c r="D36" s="76"/>
      <c r="E36" s="76"/>
      <c r="F36" s="77"/>
      <c r="G36" s="2"/>
    </row>
    <row r="37" spans="1:8" x14ac:dyDescent="0.25">
      <c r="A37" s="80" t="s">
        <v>63</v>
      </c>
      <c r="B37" s="81"/>
      <c r="C37" s="81"/>
      <c r="D37" s="81"/>
      <c r="E37" s="81"/>
      <c r="F37" s="82"/>
      <c r="G37" s="72"/>
    </row>
    <row r="38" spans="1:8" x14ac:dyDescent="0.25">
      <c r="A38" s="75"/>
      <c r="B38" s="97"/>
      <c r="C38" s="97"/>
      <c r="D38" s="97"/>
      <c r="E38" s="98"/>
      <c r="F38" s="5">
        <f>SUM(F39:F42)/60</f>
        <v>5.166666666666667</v>
      </c>
      <c r="G38" s="5">
        <f>SUM(G39:G42)/60</f>
        <v>8.1666666666666661</v>
      </c>
      <c r="H38" s="6" t="s">
        <v>5</v>
      </c>
    </row>
    <row r="39" spans="1:8" ht="14.45" customHeight="1" x14ac:dyDescent="0.25">
      <c r="A39" s="64">
        <v>45845</v>
      </c>
      <c r="B39" s="7" t="s">
        <v>6</v>
      </c>
      <c r="C39" s="11" t="s">
        <v>7</v>
      </c>
      <c r="D39" s="95" t="s">
        <v>27</v>
      </c>
      <c r="E39" s="11" t="s">
        <v>22</v>
      </c>
      <c r="F39" s="11">
        <v>60</v>
      </c>
      <c r="G39" s="11">
        <v>60</v>
      </c>
    </row>
    <row r="40" spans="1:8" ht="25.5" x14ac:dyDescent="0.25">
      <c r="A40" s="64">
        <v>45846</v>
      </c>
      <c r="B40" s="7" t="s">
        <v>6</v>
      </c>
      <c r="C40" s="11" t="s">
        <v>9</v>
      </c>
      <c r="D40" s="100"/>
      <c r="E40" s="11" t="s">
        <v>15</v>
      </c>
      <c r="F40" s="11">
        <v>90</v>
      </c>
      <c r="G40" s="11">
        <v>180</v>
      </c>
    </row>
    <row r="41" spans="1:8" x14ac:dyDescent="0.25">
      <c r="A41" s="64">
        <v>45847</v>
      </c>
      <c r="B41" s="7" t="s">
        <v>6</v>
      </c>
      <c r="C41" s="11" t="s">
        <v>11</v>
      </c>
      <c r="D41" s="100" t="s">
        <v>28</v>
      </c>
      <c r="E41" s="11" t="s">
        <v>13</v>
      </c>
      <c r="F41" s="11">
        <v>70</v>
      </c>
      <c r="G41" s="11">
        <v>70</v>
      </c>
    </row>
    <row r="42" spans="1:8" ht="25.5" x14ac:dyDescent="0.25">
      <c r="A42" s="64">
        <v>45848</v>
      </c>
      <c r="B42" s="7" t="s">
        <v>6</v>
      </c>
      <c r="C42" s="11" t="s">
        <v>14</v>
      </c>
      <c r="D42" s="100"/>
      <c r="E42" s="11" t="s">
        <v>15</v>
      </c>
      <c r="F42" s="11">
        <v>90</v>
      </c>
      <c r="G42" s="11">
        <v>180</v>
      </c>
    </row>
    <row r="43" spans="1:8" x14ac:dyDescent="0.25">
      <c r="A43" s="64">
        <v>45849</v>
      </c>
      <c r="B43" s="7" t="s">
        <v>6</v>
      </c>
      <c r="C43" s="11" t="s">
        <v>16</v>
      </c>
      <c r="D43" s="96"/>
      <c r="E43" s="1"/>
      <c r="F43" s="1"/>
      <c r="G43" s="2"/>
    </row>
    <row r="44" spans="1:8" x14ac:dyDescent="0.25">
      <c r="A44" s="101"/>
      <c r="B44" s="102"/>
      <c r="C44" s="102"/>
      <c r="D44" s="102"/>
      <c r="E44" s="102"/>
      <c r="F44" s="102"/>
      <c r="G44" s="2"/>
    </row>
    <row r="45" spans="1:8" x14ac:dyDescent="0.25">
      <c r="A45" s="80" t="s">
        <v>64</v>
      </c>
      <c r="B45" s="81"/>
      <c r="C45" s="81"/>
      <c r="D45" s="81"/>
      <c r="E45" s="81"/>
      <c r="F45" s="82"/>
      <c r="G45" s="72"/>
    </row>
    <row r="46" spans="1:8" x14ac:dyDescent="0.25">
      <c r="A46" s="75"/>
      <c r="B46" s="76"/>
      <c r="C46" s="76"/>
      <c r="D46" s="76"/>
      <c r="E46" s="77"/>
      <c r="F46" s="5">
        <f>SUM(F47:F51)/60</f>
        <v>5.5</v>
      </c>
      <c r="G46" s="5">
        <f>SUM(G47:G51)/60</f>
        <v>8.6666666666666661</v>
      </c>
      <c r="H46" s="6" t="s">
        <v>5</v>
      </c>
    </row>
    <row r="47" spans="1:8" ht="14.45" customHeight="1" x14ac:dyDescent="0.25">
      <c r="A47" s="65">
        <v>45852</v>
      </c>
      <c r="B47" s="7" t="s">
        <v>6</v>
      </c>
      <c r="C47" s="11" t="s">
        <v>7</v>
      </c>
      <c r="D47" s="95" t="s">
        <v>29</v>
      </c>
      <c r="E47" s="11" t="s">
        <v>13</v>
      </c>
      <c r="F47" s="11">
        <v>70</v>
      </c>
      <c r="G47" s="11">
        <v>70</v>
      </c>
    </row>
    <row r="48" spans="1:8" ht="25.5" x14ac:dyDescent="0.25">
      <c r="A48" s="65">
        <v>45853</v>
      </c>
      <c r="B48" s="7" t="s">
        <v>6</v>
      </c>
      <c r="C48" s="11" t="s">
        <v>9</v>
      </c>
      <c r="D48" s="96"/>
      <c r="E48" s="11" t="s">
        <v>15</v>
      </c>
      <c r="F48" s="19">
        <v>100</v>
      </c>
      <c r="G48" s="11">
        <v>200</v>
      </c>
    </row>
    <row r="49" spans="1:8" x14ac:dyDescent="0.25">
      <c r="A49" s="65">
        <v>45854</v>
      </c>
      <c r="B49" s="7" t="s">
        <v>6</v>
      </c>
      <c r="C49" s="11" t="s">
        <v>11</v>
      </c>
      <c r="D49" s="95" t="s">
        <v>30</v>
      </c>
      <c r="E49" s="11" t="s">
        <v>13</v>
      </c>
      <c r="F49" s="19">
        <v>70</v>
      </c>
      <c r="G49" s="11">
        <v>70</v>
      </c>
    </row>
    <row r="50" spans="1:8" ht="25.5" x14ac:dyDescent="0.25">
      <c r="A50" s="65">
        <v>45855</v>
      </c>
      <c r="B50" s="7" t="s">
        <v>6</v>
      </c>
      <c r="C50" s="11" t="s">
        <v>14</v>
      </c>
      <c r="D50" s="100"/>
      <c r="E50" s="11" t="s">
        <v>15</v>
      </c>
      <c r="F50" s="11">
        <v>90</v>
      </c>
      <c r="G50" s="11">
        <v>180</v>
      </c>
    </row>
    <row r="51" spans="1:8" x14ac:dyDescent="0.25">
      <c r="A51" s="65">
        <v>45856</v>
      </c>
      <c r="B51" s="7" t="s">
        <v>6</v>
      </c>
      <c r="C51" s="11" t="s">
        <v>16</v>
      </c>
      <c r="D51" s="96"/>
      <c r="E51" s="10"/>
      <c r="F51" s="11"/>
      <c r="G51" s="2"/>
    </row>
    <row r="52" spans="1:8" x14ac:dyDescent="0.25">
      <c r="A52" s="84"/>
      <c r="B52" s="76"/>
      <c r="C52" s="76"/>
      <c r="D52" s="76"/>
      <c r="E52" s="76"/>
      <c r="F52" s="77"/>
      <c r="G52" s="2"/>
    </row>
    <row r="53" spans="1:8" x14ac:dyDescent="0.25">
      <c r="A53" s="80" t="s">
        <v>65</v>
      </c>
      <c r="B53" s="81"/>
      <c r="C53" s="81"/>
      <c r="D53" s="81"/>
      <c r="E53" s="81"/>
      <c r="F53" s="82"/>
      <c r="G53" s="72"/>
    </row>
    <row r="54" spans="1:8" x14ac:dyDescent="0.25">
      <c r="A54" s="75"/>
      <c r="B54" s="76"/>
      <c r="C54" s="76"/>
      <c r="D54" s="76"/>
      <c r="E54" s="77"/>
      <c r="F54" s="5">
        <f>SUM(F55:F59)/60</f>
        <v>5.333333333333333</v>
      </c>
      <c r="G54" s="5">
        <f>SUM(G55:G59)/60</f>
        <v>9</v>
      </c>
      <c r="H54" s="6" t="s">
        <v>5</v>
      </c>
    </row>
    <row r="55" spans="1:8" ht="24.6" customHeight="1" x14ac:dyDescent="0.25">
      <c r="A55" s="65">
        <v>45859</v>
      </c>
      <c r="B55" s="7" t="s">
        <v>6</v>
      </c>
      <c r="C55" s="11" t="s">
        <v>7</v>
      </c>
      <c r="D55" s="78" t="s">
        <v>31</v>
      </c>
      <c r="E55" s="1"/>
      <c r="F55" s="1"/>
      <c r="G55" s="1"/>
    </row>
    <row r="56" spans="1:8" ht="25.15" customHeight="1" x14ac:dyDescent="0.25">
      <c r="A56" s="65">
        <v>45860</v>
      </c>
      <c r="B56" s="7" t="s">
        <v>6</v>
      </c>
      <c r="C56" s="11" t="s">
        <v>9</v>
      </c>
      <c r="D56" s="83"/>
      <c r="E56" s="11" t="s">
        <v>13</v>
      </c>
      <c r="F56" s="11">
        <v>40</v>
      </c>
      <c r="G56" s="11">
        <v>40</v>
      </c>
    </row>
    <row r="57" spans="1:8" ht="21" customHeight="1" x14ac:dyDescent="0.25">
      <c r="A57" s="65">
        <v>45861</v>
      </c>
      <c r="B57" s="7" t="s">
        <v>6</v>
      </c>
      <c r="C57" s="11" t="s">
        <v>11</v>
      </c>
      <c r="D57" s="83"/>
      <c r="E57" s="11" t="s">
        <v>15</v>
      </c>
      <c r="F57" s="11">
        <v>130</v>
      </c>
      <c r="G57" s="11">
        <v>260</v>
      </c>
    </row>
    <row r="58" spans="1:8" x14ac:dyDescent="0.25">
      <c r="A58" s="65">
        <v>45862</v>
      </c>
      <c r="B58" s="7" t="s">
        <v>6</v>
      </c>
      <c r="C58" s="11" t="s">
        <v>14</v>
      </c>
      <c r="D58" s="100" t="s">
        <v>32</v>
      </c>
      <c r="E58" s="11" t="s">
        <v>13</v>
      </c>
      <c r="F58" s="11">
        <v>60</v>
      </c>
      <c r="G58" s="11">
        <v>60</v>
      </c>
    </row>
    <row r="59" spans="1:8" ht="25.5" x14ac:dyDescent="0.25">
      <c r="A59" s="65">
        <v>45863</v>
      </c>
      <c r="B59" s="7" t="s">
        <v>6</v>
      </c>
      <c r="C59" s="11" t="s">
        <v>16</v>
      </c>
      <c r="D59" s="96"/>
      <c r="E59" s="11" t="s">
        <v>15</v>
      </c>
      <c r="F59" s="11">
        <v>90</v>
      </c>
      <c r="G59" s="11">
        <v>180</v>
      </c>
    </row>
    <row r="60" spans="1:8" x14ac:dyDescent="0.25">
      <c r="A60" s="107"/>
      <c r="B60" s="107"/>
      <c r="C60" s="107"/>
      <c r="D60" s="107"/>
      <c r="E60" s="107"/>
      <c r="F60" s="107"/>
      <c r="G60" s="2"/>
    </row>
    <row r="61" spans="1:8" x14ac:dyDescent="0.25">
      <c r="A61" s="104" t="s">
        <v>66</v>
      </c>
      <c r="B61" s="105"/>
      <c r="C61" s="105"/>
      <c r="D61" s="105"/>
      <c r="E61" s="105"/>
      <c r="F61" s="106"/>
      <c r="G61" s="72"/>
    </row>
    <row r="62" spans="1:8" ht="19.899999999999999" customHeight="1" x14ac:dyDescent="0.25">
      <c r="A62" s="75"/>
      <c r="B62" s="76"/>
      <c r="C62" s="76"/>
      <c r="D62" s="76"/>
      <c r="E62" s="77"/>
      <c r="F62" s="5">
        <f>SUM(F63:F67)/60</f>
        <v>5.333333333333333</v>
      </c>
      <c r="G62" s="5">
        <f>SUM(G63:G67)/60</f>
        <v>7.666666666666667</v>
      </c>
      <c r="H62" s="6" t="s">
        <v>5</v>
      </c>
    </row>
    <row r="63" spans="1:8" x14ac:dyDescent="0.25">
      <c r="A63" s="65">
        <v>45866</v>
      </c>
      <c r="B63" s="7" t="s">
        <v>6</v>
      </c>
      <c r="C63" s="11" t="s">
        <v>7</v>
      </c>
      <c r="D63" s="78" t="s">
        <v>33</v>
      </c>
      <c r="E63" s="7"/>
      <c r="F63" s="7"/>
      <c r="G63" s="68"/>
    </row>
    <row r="64" spans="1:8" x14ac:dyDescent="0.25">
      <c r="A64" s="65">
        <v>45867</v>
      </c>
      <c r="B64" s="7" t="s">
        <v>6</v>
      </c>
      <c r="C64" s="11" t="s">
        <v>9</v>
      </c>
      <c r="D64" s="83"/>
      <c r="E64" s="20" t="s">
        <v>13</v>
      </c>
      <c r="F64" s="20">
        <v>70</v>
      </c>
      <c r="G64" s="20">
        <v>70</v>
      </c>
    </row>
    <row r="65" spans="1:8" ht="25.5" x14ac:dyDescent="0.25">
      <c r="A65" s="65">
        <v>45868</v>
      </c>
      <c r="B65" s="7" t="s">
        <v>6</v>
      </c>
      <c r="C65" s="11" t="s">
        <v>11</v>
      </c>
      <c r="D65" s="83"/>
      <c r="E65" s="21" t="s">
        <v>23</v>
      </c>
      <c r="F65" s="19">
        <v>40</v>
      </c>
      <c r="G65" s="19">
        <v>80</v>
      </c>
    </row>
    <row r="66" spans="1:8" ht="45" x14ac:dyDescent="0.25">
      <c r="A66" s="65">
        <v>45869</v>
      </c>
      <c r="B66" s="7" t="s">
        <v>6</v>
      </c>
      <c r="C66" s="11" t="s">
        <v>14</v>
      </c>
      <c r="D66" s="22" t="s">
        <v>34</v>
      </c>
      <c r="E66" s="12" t="s">
        <v>35</v>
      </c>
      <c r="F66" s="12">
        <v>140</v>
      </c>
      <c r="G66" s="12">
        <v>240</v>
      </c>
    </row>
    <row r="67" spans="1:8" x14ac:dyDescent="0.25">
      <c r="A67" s="65">
        <v>45870</v>
      </c>
      <c r="B67" s="7" t="s">
        <v>6</v>
      </c>
      <c r="C67" s="11" t="s">
        <v>16</v>
      </c>
      <c r="D67" s="23" t="s">
        <v>36</v>
      </c>
      <c r="E67" s="7" t="s">
        <v>13</v>
      </c>
      <c r="F67" s="11">
        <v>70</v>
      </c>
      <c r="G67" s="11">
        <v>70</v>
      </c>
    </row>
    <row r="68" spans="1:8" x14ac:dyDescent="0.25">
      <c r="A68" s="103"/>
      <c r="B68" s="81"/>
      <c r="C68" s="81"/>
      <c r="D68" s="81"/>
      <c r="E68" s="81"/>
      <c r="F68" s="82"/>
      <c r="G68" s="2"/>
    </row>
    <row r="69" spans="1:8" x14ac:dyDescent="0.25">
      <c r="A69" s="80" t="s">
        <v>75</v>
      </c>
      <c r="B69" s="81"/>
      <c r="C69" s="81"/>
      <c r="D69" s="81"/>
      <c r="E69" s="81"/>
      <c r="F69" s="82"/>
      <c r="G69" s="72"/>
    </row>
    <row r="70" spans="1:8" ht="14.45" customHeight="1" x14ac:dyDescent="0.25">
      <c r="A70" s="75"/>
      <c r="B70" s="76"/>
      <c r="C70" s="76"/>
      <c r="D70" s="76"/>
      <c r="E70" s="77"/>
      <c r="F70" s="5">
        <f>SUM(F71:F76)/60</f>
        <v>5.666666666666667</v>
      </c>
      <c r="G70" s="5">
        <f>SUM(G71:G76)/60</f>
        <v>9</v>
      </c>
      <c r="H70" s="6" t="s">
        <v>5</v>
      </c>
    </row>
    <row r="71" spans="1:8" x14ac:dyDescent="0.25">
      <c r="A71" s="65">
        <v>45873</v>
      </c>
      <c r="B71" s="7" t="s">
        <v>6</v>
      </c>
      <c r="C71" s="11" t="s">
        <v>7</v>
      </c>
      <c r="D71" s="92" t="s">
        <v>36</v>
      </c>
      <c r="E71" s="1"/>
      <c r="F71" s="1"/>
      <c r="G71" s="1"/>
    </row>
    <row r="72" spans="1:8" ht="25.5" x14ac:dyDescent="0.25">
      <c r="A72" s="65">
        <v>45874</v>
      </c>
      <c r="B72" s="7" t="s">
        <v>6</v>
      </c>
      <c r="C72" s="11" t="s">
        <v>9</v>
      </c>
      <c r="D72" s="93"/>
      <c r="E72" s="11" t="s">
        <v>15</v>
      </c>
      <c r="F72" s="24">
        <v>60</v>
      </c>
      <c r="G72" s="24">
        <v>120</v>
      </c>
    </row>
    <row r="73" spans="1:8" x14ac:dyDescent="0.25">
      <c r="A73" s="65">
        <v>45875</v>
      </c>
      <c r="B73" s="7" t="s">
        <v>6</v>
      </c>
      <c r="C73" s="11" t="s">
        <v>11</v>
      </c>
      <c r="D73" s="83" t="s">
        <v>37</v>
      </c>
      <c r="E73" s="16" t="s">
        <v>13</v>
      </c>
      <c r="F73" s="16">
        <v>40</v>
      </c>
      <c r="G73" s="16">
        <v>40</v>
      </c>
    </row>
    <row r="74" spans="1:8" ht="20.45" customHeight="1" x14ac:dyDescent="0.25">
      <c r="A74" s="65">
        <v>45876</v>
      </c>
      <c r="B74" s="7" t="s">
        <v>6</v>
      </c>
      <c r="C74" s="11" t="s">
        <v>14</v>
      </c>
      <c r="D74" s="79"/>
      <c r="E74" s="25" t="s">
        <v>15</v>
      </c>
      <c r="F74" s="11">
        <v>60</v>
      </c>
      <c r="G74" s="11">
        <v>120</v>
      </c>
    </row>
    <row r="75" spans="1:8" ht="45" x14ac:dyDescent="0.25">
      <c r="A75" s="65">
        <v>45877</v>
      </c>
      <c r="B75" s="7" t="s">
        <v>6</v>
      </c>
      <c r="C75" s="11" t="s">
        <v>16</v>
      </c>
      <c r="D75" s="26" t="s">
        <v>38</v>
      </c>
      <c r="E75" s="24" t="s">
        <v>39</v>
      </c>
      <c r="F75" s="24">
        <v>120</v>
      </c>
      <c r="G75" s="24">
        <v>200</v>
      </c>
    </row>
    <row r="76" spans="1:8" ht="25.5" x14ac:dyDescent="0.25">
      <c r="A76" s="27"/>
      <c r="B76" s="28"/>
      <c r="C76" s="18"/>
      <c r="D76" s="29" t="s">
        <v>40</v>
      </c>
      <c r="E76" s="11" t="s">
        <v>41</v>
      </c>
      <c r="F76" s="11">
        <v>60</v>
      </c>
      <c r="G76" s="11">
        <v>60</v>
      </c>
    </row>
    <row r="77" spans="1:8" x14ac:dyDescent="0.25">
      <c r="A77" s="84"/>
      <c r="B77" s="76"/>
      <c r="C77" s="76"/>
      <c r="D77" s="76"/>
      <c r="E77" s="76"/>
      <c r="F77" s="77"/>
      <c r="G77" s="1"/>
    </row>
    <row r="78" spans="1:8" ht="14.45" customHeight="1" x14ac:dyDescent="0.25">
      <c r="A78" s="108" t="s">
        <v>74</v>
      </c>
      <c r="B78" s="109"/>
      <c r="C78" s="109"/>
      <c r="D78" s="109"/>
      <c r="E78" s="109"/>
      <c r="F78" s="110"/>
      <c r="G78" s="73"/>
    </row>
    <row r="79" spans="1:8" x14ac:dyDescent="0.25">
      <c r="A79" s="75"/>
      <c r="B79" s="76"/>
      <c r="C79" s="76"/>
      <c r="D79" s="76"/>
      <c r="E79" s="77"/>
      <c r="F79" s="5">
        <f>SUM(F80:F84)/60</f>
        <v>5.5</v>
      </c>
      <c r="G79" s="5">
        <f>SUM(G80:G84)/60</f>
        <v>7.833333333333333</v>
      </c>
      <c r="H79" s="6" t="s">
        <v>5</v>
      </c>
    </row>
    <row r="80" spans="1:8" x14ac:dyDescent="0.25">
      <c r="A80" s="62">
        <v>45880</v>
      </c>
      <c r="B80" s="7" t="s">
        <v>6</v>
      </c>
      <c r="C80" s="11" t="s">
        <v>7</v>
      </c>
      <c r="D80" s="95" t="s">
        <v>42</v>
      </c>
      <c r="E80" s="114" t="s">
        <v>43</v>
      </c>
      <c r="F80" s="30"/>
      <c r="G80" s="30"/>
    </row>
    <row r="81" spans="1:8" ht="24.6" customHeight="1" x14ac:dyDescent="0.25">
      <c r="A81" s="62">
        <v>45881</v>
      </c>
      <c r="B81" s="7" t="s">
        <v>6</v>
      </c>
      <c r="C81" s="11" t="s">
        <v>9</v>
      </c>
      <c r="D81" s="96"/>
      <c r="E81" s="115"/>
      <c r="F81" s="30">
        <v>120</v>
      </c>
      <c r="G81" s="30">
        <v>200</v>
      </c>
    </row>
    <row r="82" spans="1:8" x14ac:dyDescent="0.25">
      <c r="A82" s="62">
        <v>45882</v>
      </c>
      <c r="B82" s="7" t="s">
        <v>6</v>
      </c>
      <c r="C82" s="11" t="s">
        <v>11</v>
      </c>
      <c r="D82" s="95" t="s">
        <v>44</v>
      </c>
      <c r="E82" s="11" t="s">
        <v>45</v>
      </c>
      <c r="F82" s="11">
        <v>60</v>
      </c>
      <c r="G82" s="11">
        <v>60</v>
      </c>
    </row>
    <row r="83" spans="1:8" ht="25.5" x14ac:dyDescent="0.25">
      <c r="A83" s="62">
        <v>45883</v>
      </c>
      <c r="B83" s="7" t="s">
        <v>6</v>
      </c>
      <c r="C83" s="11" t="s">
        <v>14</v>
      </c>
      <c r="D83" s="96"/>
      <c r="E83" s="11" t="s">
        <v>15</v>
      </c>
      <c r="F83" s="11">
        <v>60</v>
      </c>
      <c r="G83" s="11">
        <v>120</v>
      </c>
    </row>
    <row r="84" spans="1:8" x14ac:dyDescent="0.25">
      <c r="A84" s="62">
        <v>45884</v>
      </c>
      <c r="B84" s="7" t="s">
        <v>6</v>
      </c>
      <c r="C84" s="11" t="s">
        <v>16</v>
      </c>
      <c r="D84" s="31" t="s">
        <v>46</v>
      </c>
      <c r="E84" s="7" t="s">
        <v>45</v>
      </c>
      <c r="F84" s="7">
        <v>90</v>
      </c>
      <c r="G84" s="68">
        <v>90</v>
      </c>
    </row>
    <row r="85" spans="1:8" x14ac:dyDescent="0.25">
      <c r="A85" s="84"/>
      <c r="B85" s="76"/>
      <c r="C85" s="76"/>
      <c r="D85" s="76"/>
      <c r="E85" s="76"/>
      <c r="F85" s="77"/>
      <c r="G85" s="2"/>
    </row>
    <row r="86" spans="1:8" ht="14.45" customHeight="1" x14ac:dyDescent="0.25">
      <c r="A86" s="111" t="s">
        <v>73</v>
      </c>
      <c r="B86" s="76"/>
      <c r="C86" s="76"/>
      <c r="D86" s="76"/>
      <c r="E86" s="76"/>
      <c r="F86" s="77"/>
      <c r="G86" s="73"/>
    </row>
    <row r="87" spans="1:8" x14ac:dyDescent="0.25">
      <c r="A87" s="122"/>
      <c r="B87" s="81"/>
      <c r="C87" s="81"/>
      <c r="D87" s="81"/>
      <c r="E87" s="82"/>
      <c r="F87" s="32">
        <f>SUM(F88:F92)/60</f>
        <v>5.333333333333333</v>
      </c>
      <c r="G87" s="32">
        <f>SUM(G88:G92)/60</f>
        <v>6.833333333333333</v>
      </c>
      <c r="H87" s="6" t="s">
        <v>5</v>
      </c>
    </row>
    <row r="88" spans="1:8" x14ac:dyDescent="0.25">
      <c r="A88" s="63">
        <v>45887</v>
      </c>
      <c r="B88" s="33" t="s">
        <v>6</v>
      </c>
      <c r="C88" s="66" t="s">
        <v>7</v>
      </c>
      <c r="D88" s="116" t="s">
        <v>48</v>
      </c>
      <c r="E88" s="30"/>
      <c r="F88" s="30"/>
      <c r="G88" s="30"/>
    </row>
    <row r="89" spans="1:8" x14ac:dyDescent="0.25">
      <c r="A89" s="63">
        <v>45888</v>
      </c>
      <c r="B89" s="34" t="s">
        <v>47</v>
      </c>
      <c r="C89" s="66" t="s">
        <v>9</v>
      </c>
      <c r="D89" s="117"/>
      <c r="E89" s="35" t="s">
        <v>10</v>
      </c>
      <c r="F89" s="30">
        <v>90</v>
      </c>
      <c r="G89" s="30">
        <v>90</v>
      </c>
    </row>
    <row r="90" spans="1:8" x14ac:dyDescent="0.25">
      <c r="A90" s="63">
        <v>45889</v>
      </c>
      <c r="B90" s="19" t="s">
        <v>6</v>
      </c>
      <c r="C90" s="66" t="s">
        <v>11</v>
      </c>
      <c r="D90" s="123" t="s">
        <v>49</v>
      </c>
      <c r="E90" s="36" t="s">
        <v>13</v>
      </c>
      <c r="F90" s="37">
        <v>140</v>
      </c>
      <c r="G90" s="37">
        <v>140</v>
      </c>
    </row>
    <row r="91" spans="1:8" ht="25.5" x14ac:dyDescent="0.25">
      <c r="A91" s="63">
        <v>45890</v>
      </c>
      <c r="B91" s="7" t="s">
        <v>6</v>
      </c>
      <c r="C91" s="11" t="s">
        <v>14</v>
      </c>
      <c r="D91" s="123"/>
      <c r="E91" s="38" t="s">
        <v>15</v>
      </c>
      <c r="F91" s="39">
        <v>90</v>
      </c>
      <c r="G91" s="39">
        <v>180</v>
      </c>
    </row>
    <row r="92" spans="1:8" x14ac:dyDescent="0.25">
      <c r="A92" s="63">
        <v>45891</v>
      </c>
      <c r="B92" s="7" t="s">
        <v>6</v>
      </c>
      <c r="C92" s="11" t="s">
        <v>16</v>
      </c>
      <c r="D92" s="124"/>
      <c r="E92" s="40"/>
      <c r="F92" s="41"/>
      <c r="G92" s="2"/>
    </row>
    <row r="93" spans="1:8" x14ac:dyDescent="0.25">
      <c r="A93" s="84"/>
      <c r="B93" s="76"/>
      <c r="C93" s="76"/>
      <c r="D93" s="76"/>
      <c r="E93" s="76"/>
      <c r="F93" s="77"/>
      <c r="G93" s="2"/>
    </row>
    <row r="94" spans="1:8" ht="14.45" customHeight="1" x14ac:dyDescent="0.25">
      <c r="A94" s="111" t="s">
        <v>72</v>
      </c>
      <c r="B94" s="112"/>
      <c r="C94" s="112"/>
      <c r="D94" s="112"/>
      <c r="E94" s="112"/>
      <c r="F94" s="113"/>
      <c r="G94" s="73"/>
    </row>
    <row r="95" spans="1:8" x14ac:dyDescent="0.25">
      <c r="A95" s="75"/>
      <c r="B95" s="76"/>
      <c r="C95" s="76"/>
      <c r="D95" s="105"/>
      <c r="E95" s="77"/>
      <c r="F95" s="5">
        <f>SUM(F96:F100)/60</f>
        <v>5</v>
      </c>
      <c r="G95" s="5">
        <f>SUM(G96:G100)/60</f>
        <v>8</v>
      </c>
      <c r="H95" s="6" t="s">
        <v>5</v>
      </c>
    </row>
    <row r="96" spans="1:8" x14ac:dyDescent="0.25">
      <c r="A96" s="64">
        <v>45894</v>
      </c>
      <c r="B96" s="7" t="s">
        <v>6</v>
      </c>
      <c r="C96" s="11" t="s">
        <v>7</v>
      </c>
      <c r="D96" s="118" t="s">
        <v>49</v>
      </c>
      <c r="E96" s="30"/>
      <c r="F96" s="11"/>
      <c r="G96" s="11"/>
    </row>
    <row r="97" spans="1:8" ht="25.5" x14ac:dyDescent="0.25">
      <c r="A97" s="64">
        <v>45895</v>
      </c>
      <c r="B97" s="7" t="s">
        <v>6</v>
      </c>
      <c r="C97" s="11" t="s">
        <v>9</v>
      </c>
      <c r="D97" s="119"/>
      <c r="E97" s="30" t="s">
        <v>15</v>
      </c>
      <c r="F97" s="11">
        <v>180</v>
      </c>
      <c r="G97" s="11">
        <v>360</v>
      </c>
    </row>
    <row r="98" spans="1:8" x14ac:dyDescent="0.25">
      <c r="A98" s="64">
        <v>45896</v>
      </c>
      <c r="B98" s="7" t="s">
        <v>6</v>
      </c>
      <c r="C98" s="11" t="s">
        <v>11</v>
      </c>
      <c r="D98" s="119"/>
      <c r="E98" s="42"/>
      <c r="F98" s="11"/>
      <c r="G98" s="11"/>
    </row>
    <row r="99" spans="1:8" x14ac:dyDescent="0.25">
      <c r="A99" s="64">
        <v>45897</v>
      </c>
      <c r="B99" s="43" t="s">
        <v>47</v>
      </c>
      <c r="C99" s="11" t="s">
        <v>14</v>
      </c>
      <c r="D99" s="120" t="s">
        <v>50</v>
      </c>
      <c r="E99" s="17" t="s">
        <v>10</v>
      </c>
      <c r="F99" s="7">
        <v>120</v>
      </c>
      <c r="G99" s="68">
        <v>120</v>
      </c>
    </row>
    <row r="100" spans="1:8" x14ac:dyDescent="0.25">
      <c r="A100" s="64">
        <v>45898</v>
      </c>
      <c r="B100" s="7" t="s">
        <v>6</v>
      </c>
      <c r="C100" s="11" t="s">
        <v>16</v>
      </c>
      <c r="D100" s="121"/>
      <c r="E100" s="44"/>
      <c r="F100" s="7"/>
      <c r="G100" s="68"/>
    </row>
    <row r="101" spans="1:8" x14ac:dyDescent="0.25">
      <c r="A101" s="84"/>
      <c r="B101" s="76"/>
      <c r="C101" s="76"/>
      <c r="D101" s="76"/>
      <c r="E101" s="76"/>
      <c r="F101" s="77"/>
      <c r="G101" s="1"/>
    </row>
    <row r="102" spans="1:8" x14ac:dyDescent="0.25">
      <c r="A102" s="111" t="s">
        <v>67</v>
      </c>
      <c r="B102" s="76"/>
      <c r="C102" s="76"/>
      <c r="D102" s="76"/>
      <c r="E102" s="76"/>
      <c r="F102" s="106"/>
      <c r="G102" s="72"/>
    </row>
    <row r="103" spans="1:8" x14ac:dyDescent="0.25">
      <c r="A103" s="75"/>
      <c r="B103" s="76"/>
      <c r="C103" s="76"/>
      <c r="D103" s="76"/>
      <c r="E103" s="77"/>
      <c r="F103" s="5">
        <f>SUM(F104:F108)/60</f>
        <v>5</v>
      </c>
      <c r="G103" s="5">
        <f>SUM(G104:G108)/60</f>
        <v>8</v>
      </c>
      <c r="H103" s="6" t="s">
        <v>5</v>
      </c>
    </row>
    <row r="104" spans="1:8" x14ac:dyDescent="0.25">
      <c r="A104" s="65">
        <v>45901</v>
      </c>
      <c r="B104" s="7" t="s">
        <v>6</v>
      </c>
      <c r="C104" s="11" t="s">
        <v>7</v>
      </c>
      <c r="D104" s="78" t="s">
        <v>51</v>
      </c>
      <c r="E104" s="1"/>
      <c r="F104" s="1"/>
      <c r="G104" s="1"/>
    </row>
    <row r="105" spans="1:8" x14ac:dyDescent="0.25">
      <c r="A105" s="65">
        <v>45902</v>
      </c>
      <c r="B105" s="7" t="s">
        <v>6</v>
      </c>
      <c r="C105" s="11" t="s">
        <v>9</v>
      </c>
      <c r="D105" s="83"/>
      <c r="E105" s="11" t="s">
        <v>13</v>
      </c>
      <c r="F105" s="45">
        <v>120</v>
      </c>
      <c r="G105" s="69">
        <v>120</v>
      </c>
    </row>
    <row r="106" spans="1:8" x14ac:dyDescent="0.25">
      <c r="A106" s="65">
        <v>45903</v>
      </c>
      <c r="B106" s="7" t="s">
        <v>6</v>
      </c>
      <c r="C106" s="11" t="s">
        <v>11</v>
      </c>
      <c r="D106" s="83"/>
      <c r="E106" s="11"/>
      <c r="F106" s="11"/>
      <c r="G106" s="11"/>
    </row>
    <row r="107" spans="1:8" ht="25.5" x14ac:dyDescent="0.25">
      <c r="A107" s="65">
        <v>45904</v>
      </c>
      <c r="B107" s="7" t="s">
        <v>6</v>
      </c>
      <c r="C107" s="11" t="s">
        <v>14</v>
      </c>
      <c r="D107" s="83"/>
      <c r="E107" s="11" t="s">
        <v>15</v>
      </c>
      <c r="F107" s="11">
        <v>180</v>
      </c>
      <c r="G107" s="11">
        <v>360</v>
      </c>
    </row>
    <row r="108" spans="1:8" x14ac:dyDescent="0.25">
      <c r="A108" s="65">
        <v>45905</v>
      </c>
      <c r="B108" s="7" t="s">
        <v>6</v>
      </c>
      <c r="C108" s="11" t="s">
        <v>16</v>
      </c>
      <c r="D108" s="79"/>
      <c r="E108" s="1"/>
      <c r="F108" s="1"/>
      <c r="G108" s="2"/>
    </row>
    <row r="109" spans="1:8" x14ac:dyDescent="0.25">
      <c r="A109" s="139"/>
      <c r="B109" s="139"/>
      <c r="C109" s="139"/>
      <c r="D109" s="139"/>
      <c r="E109" s="139"/>
      <c r="F109" s="139"/>
      <c r="G109" s="2"/>
    </row>
    <row r="110" spans="1:8" x14ac:dyDescent="0.25">
      <c r="A110" s="111" t="s">
        <v>68</v>
      </c>
      <c r="B110" s="76"/>
      <c r="C110" s="76"/>
      <c r="D110" s="76"/>
      <c r="E110" s="76"/>
      <c r="F110" s="77"/>
      <c r="G110" s="72"/>
    </row>
    <row r="111" spans="1:8" ht="14.45" customHeight="1" x14ac:dyDescent="0.25">
      <c r="A111" s="75"/>
      <c r="B111" s="76"/>
      <c r="C111" s="76"/>
      <c r="D111" s="76"/>
      <c r="E111" s="77"/>
      <c r="F111" s="5">
        <f>SUM(F112:F117)/60</f>
        <v>4.666666666666667</v>
      </c>
      <c r="G111" s="5">
        <f>SUM(G112:G117)/60</f>
        <v>7.333333333333333</v>
      </c>
      <c r="H111" s="6" t="s">
        <v>5</v>
      </c>
    </row>
    <row r="112" spans="1:8" x14ac:dyDescent="0.25">
      <c r="A112" s="65">
        <v>45908</v>
      </c>
      <c r="B112" s="7" t="s">
        <v>6</v>
      </c>
      <c r="C112" s="11" t="s">
        <v>7</v>
      </c>
      <c r="D112" s="92" t="s">
        <v>52</v>
      </c>
      <c r="E112" s="11"/>
      <c r="F112" s="45"/>
      <c r="G112" s="69"/>
    </row>
    <row r="113" spans="1:8" x14ac:dyDescent="0.25">
      <c r="A113" s="65">
        <v>45909</v>
      </c>
      <c r="B113" s="7" t="s">
        <v>6</v>
      </c>
      <c r="C113" s="11" t="s">
        <v>9</v>
      </c>
      <c r="D113" s="93"/>
      <c r="E113" s="38" t="s">
        <v>13</v>
      </c>
      <c r="F113" s="38">
        <v>60</v>
      </c>
      <c r="G113" s="38">
        <v>60</v>
      </c>
    </row>
    <row r="114" spans="1:8" ht="25.5" x14ac:dyDescent="0.25">
      <c r="A114" s="65">
        <v>45910</v>
      </c>
      <c r="B114" s="7" t="s">
        <v>6</v>
      </c>
      <c r="C114" s="11" t="s">
        <v>11</v>
      </c>
      <c r="D114" s="93"/>
      <c r="E114" s="38" t="s">
        <v>15</v>
      </c>
      <c r="F114" s="38">
        <v>160</v>
      </c>
      <c r="G114" s="38">
        <v>320</v>
      </c>
    </row>
    <row r="115" spans="1:8" x14ac:dyDescent="0.25">
      <c r="A115" s="65">
        <v>45911</v>
      </c>
      <c r="B115" s="7" t="s">
        <v>6</v>
      </c>
      <c r="C115" s="11" t="s">
        <v>14</v>
      </c>
      <c r="D115" s="93"/>
      <c r="E115" s="1"/>
      <c r="F115" s="1"/>
      <c r="G115" s="1"/>
    </row>
    <row r="116" spans="1:8" x14ac:dyDescent="0.25">
      <c r="A116" s="65">
        <v>45912</v>
      </c>
      <c r="B116" s="7" t="s">
        <v>6</v>
      </c>
      <c r="C116" s="11" t="s">
        <v>16</v>
      </c>
      <c r="D116" s="94"/>
      <c r="E116" s="1"/>
      <c r="F116" s="1"/>
      <c r="G116" s="1"/>
    </row>
    <row r="117" spans="1:8" ht="25.5" x14ac:dyDescent="0.25">
      <c r="B117" s="1"/>
      <c r="C117" s="18"/>
      <c r="D117" s="29" t="s">
        <v>40</v>
      </c>
      <c r="E117" s="11" t="s">
        <v>40</v>
      </c>
      <c r="F117" s="11">
        <v>60</v>
      </c>
      <c r="G117" s="11">
        <v>60</v>
      </c>
    </row>
    <row r="118" spans="1:8" x14ac:dyDescent="0.25">
      <c r="A118" s="84"/>
      <c r="B118" s="76"/>
      <c r="C118" s="76"/>
      <c r="D118" s="76"/>
      <c r="E118" s="76"/>
      <c r="F118" s="77"/>
      <c r="G118" s="2"/>
    </row>
    <row r="119" spans="1:8" ht="14.45" customHeight="1" x14ac:dyDescent="0.25">
      <c r="A119" s="111" t="s">
        <v>69</v>
      </c>
      <c r="B119" s="76"/>
      <c r="C119" s="76"/>
      <c r="D119" s="76"/>
      <c r="E119" s="76"/>
      <c r="F119" s="77"/>
      <c r="G119" s="72"/>
    </row>
    <row r="120" spans="1:8" x14ac:dyDescent="0.25">
      <c r="A120" s="75"/>
      <c r="B120" s="105"/>
      <c r="C120" s="105"/>
      <c r="D120" s="105"/>
      <c r="E120" s="106"/>
      <c r="F120" s="46">
        <f>SUM(F121:F125)/60</f>
        <v>5.5</v>
      </c>
      <c r="G120" s="46">
        <f>SUM(G121:G125)/60</f>
        <v>7</v>
      </c>
      <c r="H120" s="6" t="s">
        <v>5</v>
      </c>
    </row>
    <row r="121" spans="1:8" x14ac:dyDescent="0.25">
      <c r="A121" s="65">
        <v>45915</v>
      </c>
      <c r="B121" s="7" t="s">
        <v>6</v>
      </c>
      <c r="C121" s="47" t="s">
        <v>7</v>
      </c>
      <c r="D121" s="135" t="s">
        <v>53</v>
      </c>
      <c r="E121" s="48"/>
      <c r="F121" s="38"/>
      <c r="G121" s="38"/>
    </row>
    <row r="122" spans="1:8" x14ac:dyDescent="0.25">
      <c r="A122" s="65">
        <v>45916</v>
      </c>
      <c r="B122" s="7" t="s">
        <v>6</v>
      </c>
      <c r="C122" s="47" t="s">
        <v>9</v>
      </c>
      <c r="D122" s="136"/>
      <c r="E122" s="11" t="s">
        <v>13</v>
      </c>
      <c r="F122" s="38">
        <v>240</v>
      </c>
      <c r="G122" s="38">
        <v>240</v>
      </c>
    </row>
    <row r="123" spans="1:8" ht="25.5" x14ac:dyDescent="0.25">
      <c r="A123" s="65">
        <v>45917</v>
      </c>
      <c r="B123" s="7" t="s">
        <v>6</v>
      </c>
      <c r="C123" s="47" t="s">
        <v>11</v>
      </c>
      <c r="D123" s="136"/>
      <c r="E123" s="11" t="s">
        <v>15</v>
      </c>
      <c r="F123" s="11">
        <v>90</v>
      </c>
      <c r="G123" s="11">
        <v>180</v>
      </c>
    </row>
    <row r="124" spans="1:8" x14ac:dyDescent="0.25">
      <c r="A124" s="65">
        <v>45918</v>
      </c>
      <c r="B124" s="7" t="s">
        <v>6</v>
      </c>
      <c r="C124" s="49" t="s">
        <v>14</v>
      </c>
      <c r="D124" s="136"/>
      <c r="E124" s="38"/>
      <c r="F124" s="38"/>
      <c r="G124" s="2"/>
    </row>
    <row r="125" spans="1:8" x14ac:dyDescent="0.25">
      <c r="A125" s="65">
        <v>45919</v>
      </c>
      <c r="B125" s="7" t="s">
        <v>6</v>
      </c>
      <c r="C125" s="13" t="s">
        <v>16</v>
      </c>
      <c r="D125" s="137"/>
      <c r="E125" s="48"/>
      <c r="F125" s="38"/>
      <c r="G125" s="2"/>
    </row>
    <row r="126" spans="1:8" x14ac:dyDescent="0.25">
      <c r="A126" s="138"/>
      <c r="B126" s="138"/>
      <c r="C126" s="138"/>
      <c r="D126" s="138"/>
      <c r="E126" s="138"/>
      <c r="F126" s="138"/>
      <c r="G126" s="2"/>
    </row>
    <row r="127" spans="1:8" x14ac:dyDescent="0.25">
      <c r="A127" s="111" t="s">
        <v>70</v>
      </c>
      <c r="B127" s="76"/>
      <c r="C127" s="76"/>
      <c r="D127" s="76"/>
      <c r="E127" s="76"/>
      <c r="F127" s="77"/>
      <c r="G127" s="72"/>
    </row>
    <row r="128" spans="1:8" x14ac:dyDescent="0.25">
      <c r="A128" s="75"/>
      <c r="B128" s="76"/>
      <c r="C128" s="76"/>
      <c r="D128" s="76"/>
      <c r="E128" s="77"/>
      <c r="F128" s="5">
        <f>SUM(F129:F133)/60</f>
        <v>3.5</v>
      </c>
      <c r="G128" s="5">
        <f>SUM(G129:G133)/60</f>
        <v>4.5</v>
      </c>
      <c r="H128" s="6" t="s">
        <v>5</v>
      </c>
    </row>
    <row r="129" spans="1:8" x14ac:dyDescent="0.25">
      <c r="A129" s="65">
        <v>45922</v>
      </c>
      <c r="B129" s="7" t="s">
        <v>6</v>
      </c>
      <c r="C129" s="47" t="s">
        <v>7</v>
      </c>
      <c r="D129" s="95" t="s">
        <v>53</v>
      </c>
      <c r="E129" s="1"/>
      <c r="F129" s="1"/>
      <c r="G129" s="1"/>
    </row>
    <row r="130" spans="1:8" ht="30" customHeight="1" x14ac:dyDescent="0.25">
      <c r="A130" s="65">
        <v>45923</v>
      </c>
      <c r="B130" s="7" t="s">
        <v>6</v>
      </c>
      <c r="C130" s="47" t="s">
        <v>9</v>
      </c>
      <c r="D130" s="100"/>
      <c r="E130" s="38" t="s">
        <v>13</v>
      </c>
      <c r="F130" s="50">
        <v>60</v>
      </c>
      <c r="G130" s="50">
        <v>60</v>
      </c>
    </row>
    <row r="131" spans="1:8" ht="25.5" x14ac:dyDescent="0.25">
      <c r="A131" s="65">
        <v>45924</v>
      </c>
      <c r="B131" s="7" t="s">
        <v>6</v>
      </c>
      <c r="C131" s="47" t="s">
        <v>11</v>
      </c>
      <c r="D131" s="126"/>
      <c r="E131" s="38" t="s">
        <v>15</v>
      </c>
      <c r="F131" s="50">
        <v>60</v>
      </c>
      <c r="G131" s="50">
        <v>120</v>
      </c>
      <c r="H131" s="56"/>
    </row>
    <row r="132" spans="1:8" ht="14.45" customHeight="1" x14ac:dyDescent="0.25">
      <c r="A132" s="65">
        <v>45925</v>
      </c>
      <c r="B132" s="51" t="s">
        <v>47</v>
      </c>
      <c r="C132" s="49" t="s">
        <v>14</v>
      </c>
      <c r="D132" s="120" t="s">
        <v>54</v>
      </c>
      <c r="E132" s="52" t="s">
        <v>10</v>
      </c>
      <c r="F132" s="38">
        <v>90</v>
      </c>
      <c r="G132" s="38">
        <v>90</v>
      </c>
    </row>
    <row r="133" spans="1:8" ht="18.600000000000001" customHeight="1" x14ac:dyDescent="0.25">
      <c r="A133" s="65">
        <v>45926</v>
      </c>
      <c r="B133" s="38" t="s">
        <v>6</v>
      </c>
      <c r="C133" s="18" t="s">
        <v>16</v>
      </c>
      <c r="D133" s="127"/>
      <c r="E133" s="53"/>
      <c r="F133" s="53"/>
      <c r="G133" s="2"/>
    </row>
    <row r="134" spans="1:8" x14ac:dyDescent="0.25">
      <c r="A134" s="128"/>
      <c r="B134" s="128"/>
      <c r="C134" s="128"/>
      <c r="D134" s="128"/>
      <c r="E134" s="128"/>
      <c r="F134" s="128"/>
      <c r="G134" s="1"/>
    </row>
    <row r="135" spans="1:8" x14ac:dyDescent="0.25">
      <c r="A135" s="111" t="s">
        <v>71</v>
      </c>
      <c r="B135" s="76"/>
      <c r="C135" s="76"/>
      <c r="D135" s="76"/>
      <c r="E135" s="76"/>
      <c r="F135" s="77"/>
      <c r="G135" s="74"/>
    </row>
    <row r="136" spans="1:8" x14ac:dyDescent="0.25">
      <c r="A136" s="131"/>
      <c r="B136" s="132"/>
      <c r="C136" s="132"/>
      <c r="D136" s="132"/>
      <c r="E136" s="133"/>
      <c r="F136" s="54">
        <f>SUM(F137:F141)/60</f>
        <v>5</v>
      </c>
      <c r="G136" s="54">
        <f>SUM(G137:G141)/60</f>
        <v>6.5</v>
      </c>
      <c r="H136" s="6" t="s">
        <v>5</v>
      </c>
    </row>
    <row r="137" spans="1:8" x14ac:dyDescent="0.25">
      <c r="A137" s="65">
        <v>45929</v>
      </c>
      <c r="B137" s="41" t="s">
        <v>6</v>
      </c>
      <c r="C137" s="49" t="s">
        <v>7</v>
      </c>
      <c r="D137" s="134" t="s">
        <v>55</v>
      </c>
      <c r="E137" s="55" t="s">
        <v>13</v>
      </c>
      <c r="F137" s="39">
        <v>60</v>
      </c>
      <c r="G137" s="39">
        <v>60</v>
      </c>
    </row>
    <row r="138" spans="1:8" ht="25.5" x14ac:dyDescent="0.25">
      <c r="A138" s="65">
        <v>45930</v>
      </c>
      <c r="B138" s="37" t="s">
        <v>6</v>
      </c>
      <c r="C138" s="13" t="s">
        <v>9</v>
      </c>
      <c r="D138" s="134"/>
      <c r="E138" s="38" t="s">
        <v>15</v>
      </c>
      <c r="F138" s="38">
        <v>90</v>
      </c>
      <c r="G138" s="38">
        <v>180</v>
      </c>
    </row>
    <row r="139" spans="1:8" ht="30" x14ac:dyDescent="0.25">
      <c r="A139" s="65">
        <v>45931</v>
      </c>
      <c r="B139" s="37" t="s">
        <v>6</v>
      </c>
      <c r="C139" s="13" t="s">
        <v>11</v>
      </c>
      <c r="D139" s="127"/>
      <c r="E139" s="20" t="s">
        <v>56</v>
      </c>
      <c r="F139" s="20">
        <v>60</v>
      </c>
      <c r="G139" s="20">
        <v>60</v>
      </c>
    </row>
    <row r="140" spans="1:8" x14ac:dyDescent="0.25">
      <c r="A140" s="65">
        <v>45932</v>
      </c>
      <c r="B140" s="57" t="s">
        <v>47</v>
      </c>
      <c r="C140" s="13" t="s">
        <v>14</v>
      </c>
      <c r="D140" s="129" t="s">
        <v>57</v>
      </c>
      <c r="E140" s="52" t="s">
        <v>10</v>
      </c>
      <c r="F140" s="38">
        <v>90</v>
      </c>
      <c r="G140" s="38">
        <v>90</v>
      </c>
    </row>
    <row r="141" spans="1:8" x14ac:dyDescent="0.25">
      <c r="A141" s="65">
        <v>45933</v>
      </c>
      <c r="B141" s="58" t="s">
        <v>6</v>
      </c>
      <c r="C141" s="59" t="s">
        <v>16</v>
      </c>
      <c r="D141" s="130"/>
      <c r="E141" s="48"/>
      <c r="F141" s="48"/>
    </row>
    <row r="142" spans="1:8" x14ac:dyDescent="0.25">
      <c r="A142" s="103"/>
      <c r="B142" s="76"/>
      <c r="C142" s="76"/>
      <c r="D142" s="76"/>
      <c r="E142" s="76"/>
      <c r="F142" s="77"/>
    </row>
    <row r="143" spans="1:8" ht="15.75" x14ac:dyDescent="0.25">
      <c r="A143" s="125" t="s">
        <v>58</v>
      </c>
      <c r="B143" s="76"/>
      <c r="C143" s="76"/>
      <c r="D143" s="76"/>
      <c r="E143" s="77"/>
      <c r="F143" s="60">
        <f>SUM(F136,F128,F120,F111,F103,F95,F87,F79,F70,F62,F54,F46,F38,F30,F22,F14,F7)</f>
        <v>86.333333333333329</v>
      </c>
      <c r="G143" s="60">
        <f>SUM(G136,G128,G120,G111,G103,G95,G87,G79,G70,G62,G54,G46,G38,G30,G22,G14,G7)</f>
        <v>128.50000000000003</v>
      </c>
    </row>
  </sheetData>
  <mergeCells count="84">
    <mergeCell ref="A101:F101"/>
    <mergeCell ref="A102:F102"/>
    <mergeCell ref="A103:E103"/>
    <mergeCell ref="D104:D108"/>
    <mergeCell ref="A109:F109"/>
    <mergeCell ref="A110:F110"/>
    <mergeCell ref="A111:E111"/>
    <mergeCell ref="D112:D116"/>
    <mergeCell ref="A118:F118"/>
    <mergeCell ref="A119:F119"/>
    <mergeCell ref="A120:E120"/>
    <mergeCell ref="D121:D125"/>
    <mergeCell ref="A126:F126"/>
    <mergeCell ref="A127:F127"/>
    <mergeCell ref="A142:F142"/>
    <mergeCell ref="A143:E143"/>
    <mergeCell ref="A128:E128"/>
    <mergeCell ref="D129:D131"/>
    <mergeCell ref="D132:D133"/>
    <mergeCell ref="A134:F134"/>
    <mergeCell ref="A135:F135"/>
    <mergeCell ref="D140:D141"/>
    <mergeCell ref="A136:E136"/>
    <mergeCell ref="D137:D139"/>
    <mergeCell ref="A95:E95"/>
    <mergeCell ref="D96:D98"/>
    <mergeCell ref="D99:D100"/>
    <mergeCell ref="D82:D83"/>
    <mergeCell ref="A85:F85"/>
    <mergeCell ref="A86:F86"/>
    <mergeCell ref="A87:E87"/>
    <mergeCell ref="D90:D92"/>
    <mergeCell ref="A93:F93"/>
    <mergeCell ref="D73:D74"/>
    <mergeCell ref="A77:F77"/>
    <mergeCell ref="A78:F78"/>
    <mergeCell ref="A79:E79"/>
    <mergeCell ref="A94:F94"/>
    <mergeCell ref="D80:D81"/>
    <mergeCell ref="E80:E81"/>
    <mergeCell ref="D88:D89"/>
    <mergeCell ref="A68:F68"/>
    <mergeCell ref="A69:F69"/>
    <mergeCell ref="A70:E70"/>
    <mergeCell ref="D71:D72"/>
    <mergeCell ref="D58:D59"/>
    <mergeCell ref="A61:F61"/>
    <mergeCell ref="A62:E62"/>
    <mergeCell ref="A60:F60"/>
    <mergeCell ref="D63:D65"/>
    <mergeCell ref="D49:D51"/>
    <mergeCell ref="A52:F52"/>
    <mergeCell ref="A53:F53"/>
    <mergeCell ref="A54:E54"/>
    <mergeCell ref="D55:D57"/>
    <mergeCell ref="D39:D40"/>
    <mergeCell ref="D41:D43"/>
    <mergeCell ref="A45:F45"/>
    <mergeCell ref="A46:E46"/>
    <mergeCell ref="D47:D48"/>
    <mergeCell ref="A44:F44"/>
    <mergeCell ref="D34:D35"/>
    <mergeCell ref="A36:F36"/>
    <mergeCell ref="A37:F37"/>
    <mergeCell ref="A38:E38"/>
    <mergeCell ref="D25:D26"/>
    <mergeCell ref="A28:F28"/>
    <mergeCell ref="A29:F29"/>
    <mergeCell ref="A30:E30"/>
    <mergeCell ref="D31:D33"/>
    <mergeCell ref="A1:F1"/>
    <mergeCell ref="A3:F3"/>
    <mergeCell ref="A6:F6"/>
    <mergeCell ref="A12:F12"/>
    <mergeCell ref="A2:G2"/>
    <mergeCell ref="D7:D8"/>
    <mergeCell ref="D9:D11"/>
    <mergeCell ref="A22:E22"/>
    <mergeCell ref="D23:D24"/>
    <mergeCell ref="A13:F13"/>
    <mergeCell ref="A14:E14"/>
    <mergeCell ref="D15:D17"/>
    <mergeCell ref="A20:F20"/>
    <mergeCell ref="A21:F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Горячков Иван Николаевич</dc:creator>
  <cp:lastModifiedBy>Почерняев Михаил Евгеньевич</cp:lastModifiedBy>
  <cp:revision>1</cp:revision>
  <dcterms:created xsi:type="dcterms:W3CDTF">2023-01-25T08:45:01Z</dcterms:created>
  <dcterms:modified xsi:type="dcterms:W3CDTF">2025-05-27T14:36:36Z</dcterms:modified>
</cp:coreProperties>
</file>